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light_1FA" sheetId="1" r:id="rId1"/>
    <sheet name="light_2FA" sheetId="2" r:id="rId2"/>
    <sheet name="heavy_1FA" sheetId="3" r:id="rId3"/>
    <sheet name="heavy_1FA_newServer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4" l="1"/>
  <c r="F49" i="4" s="1"/>
  <c r="C38" i="4"/>
  <c r="F38" i="4" s="1"/>
  <c r="C26" i="4"/>
  <c r="C17" i="4"/>
  <c r="F49" i="3"/>
  <c r="C51" i="3" s="1"/>
  <c r="C49" i="3"/>
  <c r="C38" i="3"/>
  <c r="F38" i="3" s="1"/>
  <c r="C26" i="3"/>
  <c r="C17" i="3"/>
  <c r="C49" i="2"/>
  <c r="F49" i="2" s="1"/>
  <c r="C51" i="2" s="1"/>
  <c r="C38" i="2"/>
  <c r="F38" i="2" s="1"/>
  <c r="C26" i="2"/>
  <c r="C17" i="2"/>
  <c r="C49" i="1"/>
  <c r="C38" i="1"/>
  <c r="C17" i="1"/>
  <c r="C26" i="1"/>
  <c r="C27" i="1" s="1"/>
  <c r="F27" i="1" s="1"/>
  <c r="C27" i="4" l="1"/>
  <c r="F27" i="4" s="1"/>
  <c r="C29" i="4" s="1"/>
  <c r="C62" i="4"/>
  <c r="C62" i="3"/>
  <c r="C27" i="3"/>
  <c r="F27" i="3" s="1"/>
  <c r="C28" i="3" s="1"/>
  <c r="C62" i="2"/>
  <c r="C27" i="2"/>
  <c r="F27" i="2" s="1"/>
  <c r="C29" i="2" s="1"/>
  <c r="C61" i="2" s="1"/>
  <c r="C28" i="1"/>
  <c r="C29" i="1"/>
  <c r="C62" i="1"/>
  <c r="C50" i="4"/>
  <c r="C51" i="4"/>
  <c r="C40" i="4"/>
  <c r="C39" i="4"/>
  <c r="C40" i="3"/>
  <c r="C39" i="3"/>
  <c r="C50" i="3"/>
  <c r="C40" i="2"/>
  <c r="C39" i="2"/>
  <c r="C50" i="2"/>
  <c r="F49" i="1"/>
  <c r="F38" i="1"/>
  <c r="C61" i="4" l="1"/>
  <c r="C28" i="4"/>
  <c r="C60" i="4" s="1"/>
  <c r="C28" i="2"/>
  <c r="C60" i="2" s="1"/>
  <c r="C50" i="1"/>
  <c r="C51" i="1"/>
  <c r="C40" i="1"/>
  <c r="C61" i="1" s="1"/>
  <c r="C39" i="1"/>
  <c r="C60" i="1" s="1"/>
  <c r="C29" i="3"/>
  <c r="C61" i="3" s="1"/>
  <c r="C60" i="3"/>
</calcChain>
</file>

<file path=xl/sharedStrings.xml><?xml version="1.0" encoding="utf-8"?>
<sst xmlns="http://schemas.openxmlformats.org/spreadsheetml/2006/main" count="284" uniqueCount="56">
  <si>
    <t>Dati</t>
  </si>
  <si>
    <t>Valore</t>
  </si>
  <si>
    <t>Descrizione</t>
  </si>
  <si>
    <t>Parametro</t>
  </si>
  <si>
    <t>λ</t>
  </si>
  <si>
    <t>E(S_A)</t>
  </si>
  <si>
    <t>E(S_A1)</t>
  </si>
  <si>
    <t>E(S_B)</t>
  </si>
  <si>
    <t>E(S_A2)</t>
  </si>
  <si>
    <t>E(S_P)</t>
  </si>
  <si>
    <t>E(S_A3)</t>
  </si>
  <si>
    <t>Tasso di arrivo [req/s]</t>
  </si>
  <si>
    <t>Sistema</t>
  </si>
  <si>
    <t>Server A</t>
  </si>
  <si>
    <t>E(S_TOT)</t>
  </si>
  <si>
    <t>Tempo medio di servizio totale richiesto per un job se in tutti i server ci fosse solo lui [s]</t>
  </si>
  <si>
    <t>Tempo medio di servizio totale richiesto per un job al Server A se ci fosse solo lui ad ogni visita [s]</t>
  </si>
  <si>
    <t>E(T_A)</t>
  </si>
  <si>
    <t>ρ_A</t>
  </si>
  <si>
    <t>E(N_A)</t>
  </si>
  <si>
    <t>Utilizzazione del Server A</t>
  </si>
  <si>
    <t>Numero medio di richieste sul Server A</t>
  </si>
  <si>
    <t>Tempo medio di risposta del Server A [s]</t>
  </si>
  <si>
    <t>Server B</t>
  </si>
  <si>
    <t>ρ_B</t>
  </si>
  <si>
    <t>Utilizzazione del Server B</t>
  </si>
  <si>
    <t>E(T_B)</t>
  </si>
  <si>
    <t>E(N_B)</t>
  </si>
  <si>
    <t>Tempo medio di risposta del Server B [s]</t>
  </si>
  <si>
    <t>Numero medio di richieste sul Server B</t>
  </si>
  <si>
    <t>Server P</t>
  </si>
  <si>
    <t>ρ_P</t>
  </si>
  <si>
    <t>E(T_P)</t>
  </si>
  <si>
    <t>E(N_P)</t>
  </si>
  <si>
    <t>Utilizzazione del Server P</t>
  </si>
  <si>
    <t>Tempo medio di risposta del Server P [s]</t>
  </si>
  <si>
    <t>Numero medio di richieste sul Server P</t>
  </si>
  <si>
    <t>E(T_TOT)</t>
  </si>
  <si>
    <t>E(N_TOT)</t>
  </si>
  <si>
    <t>λ_MAX</t>
  </si>
  <si>
    <t>Throughput massimo del sistema [req/s]</t>
  </si>
  <si>
    <t>Numero medio di richieste nel sistema</t>
  </si>
  <si>
    <t>Tempo medio di risposta del sistema [s]</t>
  </si>
  <si>
    <t>Conclusioni</t>
  </si>
  <si>
    <t>Stabilità</t>
  </si>
  <si>
    <t>Stabilità del sistema</t>
  </si>
  <si>
    <r>
      <rPr>
        <b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>: tutti i server sono stabili</t>
    </r>
  </si>
  <si>
    <t>Collo di bottiglia del sistema</t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</si>
  <si>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>: il server B non è stabile</t>
    </r>
  </si>
  <si>
    <t>Tempo medio di servizio richiesto per i job di Classe 1 al Server A se il Server A avesse capacità 1 [s]</t>
  </si>
  <si>
    <t>Tempo medio di servizio richiesto per i job (di Classe 1) al Server B se il Server B avesse capacità 1 [s]</t>
  </si>
  <si>
    <t>Tempo medio di servizio richiesto per i job di Classe 2 al Server A se il Server A avesse capacità 1 [s]</t>
  </si>
  <si>
    <t>Tempo medio di servizio richiesto per i job (di Classe 2) al Server P se il Server P avesse capacità 1 [s]</t>
  </si>
  <si>
    <t>Tempo medio di servizio richiesto per i job di Classe 3 al Server A se il Server A avesse capacità 1 [s]</t>
  </si>
  <si>
    <r>
      <rPr>
        <b/>
        <sz val="11"/>
        <color theme="1"/>
        <rFont val="Calibri"/>
        <family val="2"/>
        <scheme val="minor"/>
      </rPr>
      <t>Server B</t>
    </r>
    <r>
      <rPr>
        <sz val="11"/>
        <color theme="1"/>
        <rFont val="Calibri"/>
        <family val="2"/>
        <scheme val="minor"/>
      </rPr>
      <t>: è il server più lento</t>
    </r>
  </si>
  <si>
    <r>
      <rPr>
        <b/>
        <sz val="11"/>
        <color theme="1"/>
        <rFont val="Calibri"/>
        <family val="2"/>
        <scheme val="minor"/>
      </rPr>
      <t>Server A</t>
    </r>
    <r>
      <rPr>
        <sz val="11"/>
        <color theme="1"/>
        <rFont val="Calibri"/>
        <family val="2"/>
        <scheme val="minor"/>
      </rPr>
      <t>: è il server più lento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</si>
</sst>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1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4" xfId="0" applyBorder="1"/>
    <xf numFmtId="0" fontId="3" fillId="0" borderId="1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7" xfId="0" applyBorder="1"/>
    <xf numFmtId="0" fontId="1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NumberFormat="1"/>
    <xf numFmtId="0" fontId="4" fillId="6" borderId="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3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/>
    <xf numFmtId="0" fontId="2" fillId="7" borderId="4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/>
    <xf numFmtId="0" fontId="0" fillId="0" borderId="1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2CC"/>
      <color rgb="FF00D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1432560</xdr:colOff>
      <xdr:row>10</xdr:row>
      <xdr:rowOff>45720</xdr:rowOff>
    </xdr:from>
    <xdr:to>
      <xdr:col>3</xdr:col>
      <xdr:colOff>1805940</xdr:colOff>
      <xdr:row>13</xdr:row>
      <xdr:rowOff>160020</xdr:rowOff>
    </xdr:to>
    <xdr:sp macro="" textlink="">
      <xdr:nvSpPr>
        <xdr:cNvPr id="3" name="Freccia in giù 2"/>
        <xdr:cNvSpPr/>
      </xdr:nvSpPr>
      <xdr:spPr>
        <a:xfrm>
          <a:off x="4785360" y="19050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1432560</xdr:colOff>
      <xdr:row>18</xdr:row>
      <xdr:rowOff>45720</xdr:rowOff>
    </xdr:from>
    <xdr:to>
      <xdr:col>3</xdr:col>
      <xdr:colOff>1805940</xdr:colOff>
      <xdr:row>21</xdr:row>
      <xdr:rowOff>160020</xdr:rowOff>
    </xdr:to>
    <xdr:sp macro="" textlink="">
      <xdr:nvSpPr>
        <xdr:cNvPr id="6" name="Freccia in giù 5"/>
        <xdr:cNvSpPr/>
      </xdr:nvSpPr>
      <xdr:spPr>
        <a:xfrm>
          <a:off x="4785360" y="33909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1440180</xdr:colOff>
      <xdr:row>30</xdr:row>
      <xdr:rowOff>45720</xdr:rowOff>
    </xdr:from>
    <xdr:to>
      <xdr:col>3</xdr:col>
      <xdr:colOff>1813560</xdr:colOff>
      <xdr:row>33</xdr:row>
      <xdr:rowOff>160020</xdr:rowOff>
    </xdr:to>
    <xdr:sp macro="" textlink="">
      <xdr:nvSpPr>
        <xdr:cNvPr id="7" name="Freccia in giù 6"/>
        <xdr:cNvSpPr/>
      </xdr:nvSpPr>
      <xdr:spPr>
        <a:xfrm>
          <a:off x="4792980" y="581406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41</xdr:row>
      <xdr:rowOff>45720</xdr:rowOff>
    </xdr:from>
    <xdr:to>
      <xdr:col>3</xdr:col>
      <xdr:colOff>1828800</xdr:colOff>
      <xdr:row>44</xdr:row>
      <xdr:rowOff>152400</xdr:rowOff>
    </xdr:to>
    <xdr:sp macro="" textlink="">
      <xdr:nvSpPr>
        <xdr:cNvPr id="8" name="Freccia in giù 7"/>
        <xdr:cNvSpPr/>
      </xdr:nvSpPr>
      <xdr:spPr>
        <a:xfrm>
          <a:off x="4808220" y="804672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52</xdr:row>
      <xdr:rowOff>45720</xdr:rowOff>
    </xdr:from>
    <xdr:to>
      <xdr:col>3</xdr:col>
      <xdr:colOff>1828800</xdr:colOff>
      <xdr:row>55</xdr:row>
      <xdr:rowOff>152400</xdr:rowOff>
    </xdr:to>
    <xdr:sp macro="" textlink="">
      <xdr:nvSpPr>
        <xdr:cNvPr id="9" name="Freccia in giù 8"/>
        <xdr:cNvSpPr/>
      </xdr:nvSpPr>
      <xdr:spPr>
        <a:xfrm>
          <a:off x="4808220" y="1027938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63</xdr:row>
      <xdr:rowOff>45720</xdr:rowOff>
    </xdr:from>
    <xdr:to>
      <xdr:col>3</xdr:col>
      <xdr:colOff>1828800</xdr:colOff>
      <xdr:row>66</xdr:row>
      <xdr:rowOff>152400</xdr:rowOff>
    </xdr:to>
    <xdr:sp macro="" textlink="">
      <xdr:nvSpPr>
        <xdr:cNvPr id="10" name="Freccia in giù 9"/>
        <xdr:cNvSpPr/>
      </xdr:nvSpPr>
      <xdr:spPr>
        <a:xfrm>
          <a:off x="4808220" y="1232154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1432560</xdr:colOff>
      <xdr:row>18</xdr:row>
      <xdr:rowOff>45720</xdr:rowOff>
    </xdr:from>
    <xdr:to>
      <xdr:col>3</xdr:col>
      <xdr:colOff>1805940</xdr:colOff>
      <xdr:row>21</xdr:row>
      <xdr:rowOff>160020</xdr:rowOff>
    </xdr:to>
    <xdr:sp macro="" textlink="">
      <xdr:nvSpPr>
        <xdr:cNvPr id="2" name="Freccia in giù 1"/>
        <xdr:cNvSpPr/>
      </xdr:nvSpPr>
      <xdr:spPr>
        <a:xfrm>
          <a:off x="4785360" y="33909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1440180</xdr:colOff>
      <xdr:row>30</xdr:row>
      <xdr:rowOff>45720</xdr:rowOff>
    </xdr:from>
    <xdr:to>
      <xdr:col>3</xdr:col>
      <xdr:colOff>1813560</xdr:colOff>
      <xdr:row>33</xdr:row>
      <xdr:rowOff>160020</xdr:rowOff>
    </xdr:to>
    <xdr:sp macro="" textlink="">
      <xdr:nvSpPr>
        <xdr:cNvPr id="3" name="Freccia in giù 2"/>
        <xdr:cNvSpPr/>
      </xdr:nvSpPr>
      <xdr:spPr>
        <a:xfrm>
          <a:off x="4792980" y="581406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41</xdr:row>
      <xdr:rowOff>45720</xdr:rowOff>
    </xdr:from>
    <xdr:to>
      <xdr:col>3</xdr:col>
      <xdr:colOff>1828800</xdr:colOff>
      <xdr:row>44</xdr:row>
      <xdr:rowOff>152400</xdr:rowOff>
    </xdr:to>
    <xdr:sp macro="" textlink="">
      <xdr:nvSpPr>
        <xdr:cNvPr id="4" name="Freccia in giù 3"/>
        <xdr:cNvSpPr/>
      </xdr:nvSpPr>
      <xdr:spPr>
        <a:xfrm>
          <a:off x="4808220" y="804672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52</xdr:row>
      <xdr:rowOff>45720</xdr:rowOff>
    </xdr:from>
    <xdr:to>
      <xdr:col>3</xdr:col>
      <xdr:colOff>1828800</xdr:colOff>
      <xdr:row>55</xdr:row>
      <xdr:rowOff>152400</xdr:rowOff>
    </xdr:to>
    <xdr:sp macro="" textlink="">
      <xdr:nvSpPr>
        <xdr:cNvPr id="5" name="Freccia in giù 4"/>
        <xdr:cNvSpPr/>
      </xdr:nvSpPr>
      <xdr:spPr>
        <a:xfrm>
          <a:off x="4808220" y="1027938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63</xdr:row>
      <xdr:rowOff>45720</xdr:rowOff>
    </xdr:from>
    <xdr:to>
      <xdr:col>3</xdr:col>
      <xdr:colOff>1828800</xdr:colOff>
      <xdr:row>66</xdr:row>
      <xdr:rowOff>152400</xdr:rowOff>
    </xdr:to>
    <xdr:sp macro="" textlink="">
      <xdr:nvSpPr>
        <xdr:cNvPr id="6" name="Freccia in giù 5"/>
        <xdr:cNvSpPr/>
      </xdr:nvSpPr>
      <xdr:spPr>
        <a:xfrm>
          <a:off x="4808220" y="1232154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1424940</xdr:colOff>
      <xdr:row>10</xdr:row>
      <xdr:rowOff>0</xdr:rowOff>
    </xdr:from>
    <xdr:to>
      <xdr:col>3</xdr:col>
      <xdr:colOff>1798320</xdr:colOff>
      <xdr:row>13</xdr:row>
      <xdr:rowOff>114300</xdr:rowOff>
    </xdr:to>
    <xdr:sp macro="" textlink="">
      <xdr:nvSpPr>
        <xdr:cNvPr id="7" name="Freccia in giù 6"/>
        <xdr:cNvSpPr/>
      </xdr:nvSpPr>
      <xdr:spPr>
        <a:xfrm>
          <a:off x="3558540" y="185928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1432560</xdr:colOff>
      <xdr:row>18</xdr:row>
      <xdr:rowOff>45720</xdr:rowOff>
    </xdr:from>
    <xdr:to>
      <xdr:col>3</xdr:col>
      <xdr:colOff>1805940</xdr:colOff>
      <xdr:row>21</xdr:row>
      <xdr:rowOff>160020</xdr:rowOff>
    </xdr:to>
    <xdr:sp macro="" textlink="">
      <xdr:nvSpPr>
        <xdr:cNvPr id="8" name="Freccia in giù 7"/>
        <xdr:cNvSpPr/>
      </xdr:nvSpPr>
      <xdr:spPr>
        <a:xfrm>
          <a:off x="4785360" y="33909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1440180</xdr:colOff>
      <xdr:row>30</xdr:row>
      <xdr:rowOff>45720</xdr:rowOff>
    </xdr:from>
    <xdr:to>
      <xdr:col>3</xdr:col>
      <xdr:colOff>1813560</xdr:colOff>
      <xdr:row>33</xdr:row>
      <xdr:rowOff>160020</xdr:rowOff>
    </xdr:to>
    <xdr:sp macro="" textlink="">
      <xdr:nvSpPr>
        <xdr:cNvPr id="9" name="Freccia in giù 8"/>
        <xdr:cNvSpPr/>
      </xdr:nvSpPr>
      <xdr:spPr>
        <a:xfrm>
          <a:off x="4792980" y="581406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41</xdr:row>
      <xdr:rowOff>45720</xdr:rowOff>
    </xdr:from>
    <xdr:to>
      <xdr:col>3</xdr:col>
      <xdr:colOff>1828800</xdr:colOff>
      <xdr:row>44</xdr:row>
      <xdr:rowOff>152400</xdr:rowOff>
    </xdr:to>
    <xdr:sp macro="" textlink="">
      <xdr:nvSpPr>
        <xdr:cNvPr id="10" name="Freccia in giù 9"/>
        <xdr:cNvSpPr/>
      </xdr:nvSpPr>
      <xdr:spPr>
        <a:xfrm>
          <a:off x="4808220" y="804672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52</xdr:row>
      <xdr:rowOff>45720</xdr:rowOff>
    </xdr:from>
    <xdr:to>
      <xdr:col>3</xdr:col>
      <xdr:colOff>1828800</xdr:colOff>
      <xdr:row>55</xdr:row>
      <xdr:rowOff>152400</xdr:rowOff>
    </xdr:to>
    <xdr:sp macro="" textlink="">
      <xdr:nvSpPr>
        <xdr:cNvPr id="11" name="Freccia in giù 10"/>
        <xdr:cNvSpPr/>
      </xdr:nvSpPr>
      <xdr:spPr>
        <a:xfrm>
          <a:off x="4808220" y="1027938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63</xdr:row>
      <xdr:rowOff>45720</xdr:rowOff>
    </xdr:from>
    <xdr:to>
      <xdr:col>3</xdr:col>
      <xdr:colOff>1828800</xdr:colOff>
      <xdr:row>66</xdr:row>
      <xdr:rowOff>152400</xdr:rowOff>
    </xdr:to>
    <xdr:sp macro="" textlink="">
      <xdr:nvSpPr>
        <xdr:cNvPr id="12" name="Freccia in giù 11"/>
        <xdr:cNvSpPr/>
      </xdr:nvSpPr>
      <xdr:spPr>
        <a:xfrm>
          <a:off x="4808220" y="1232154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1432560</xdr:colOff>
      <xdr:row>10</xdr:row>
      <xdr:rowOff>45720</xdr:rowOff>
    </xdr:from>
    <xdr:to>
      <xdr:col>3</xdr:col>
      <xdr:colOff>1805940</xdr:colOff>
      <xdr:row>13</xdr:row>
      <xdr:rowOff>160020</xdr:rowOff>
    </xdr:to>
    <xdr:sp macro="" textlink="">
      <xdr:nvSpPr>
        <xdr:cNvPr id="2" name="Freccia in giù 1"/>
        <xdr:cNvSpPr/>
      </xdr:nvSpPr>
      <xdr:spPr>
        <a:xfrm>
          <a:off x="4785360" y="19050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1432560</xdr:colOff>
      <xdr:row>18</xdr:row>
      <xdr:rowOff>45720</xdr:rowOff>
    </xdr:from>
    <xdr:to>
      <xdr:col>3</xdr:col>
      <xdr:colOff>1805940</xdr:colOff>
      <xdr:row>21</xdr:row>
      <xdr:rowOff>160020</xdr:rowOff>
    </xdr:to>
    <xdr:sp macro="" textlink="">
      <xdr:nvSpPr>
        <xdr:cNvPr id="3" name="Freccia in giù 2"/>
        <xdr:cNvSpPr/>
      </xdr:nvSpPr>
      <xdr:spPr>
        <a:xfrm>
          <a:off x="4785360" y="33909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1440180</xdr:colOff>
      <xdr:row>30</xdr:row>
      <xdr:rowOff>45720</xdr:rowOff>
    </xdr:from>
    <xdr:to>
      <xdr:col>3</xdr:col>
      <xdr:colOff>1813560</xdr:colOff>
      <xdr:row>33</xdr:row>
      <xdr:rowOff>160020</xdr:rowOff>
    </xdr:to>
    <xdr:sp macro="" textlink="">
      <xdr:nvSpPr>
        <xdr:cNvPr id="4" name="Freccia in giù 3"/>
        <xdr:cNvSpPr/>
      </xdr:nvSpPr>
      <xdr:spPr>
        <a:xfrm>
          <a:off x="4792980" y="581406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41</xdr:row>
      <xdr:rowOff>45720</xdr:rowOff>
    </xdr:from>
    <xdr:to>
      <xdr:col>3</xdr:col>
      <xdr:colOff>1828800</xdr:colOff>
      <xdr:row>44</xdr:row>
      <xdr:rowOff>152400</xdr:rowOff>
    </xdr:to>
    <xdr:sp macro="" textlink="">
      <xdr:nvSpPr>
        <xdr:cNvPr id="5" name="Freccia in giù 4"/>
        <xdr:cNvSpPr/>
      </xdr:nvSpPr>
      <xdr:spPr>
        <a:xfrm>
          <a:off x="4808220" y="804672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52</xdr:row>
      <xdr:rowOff>45720</xdr:rowOff>
    </xdr:from>
    <xdr:to>
      <xdr:col>3</xdr:col>
      <xdr:colOff>1828800</xdr:colOff>
      <xdr:row>55</xdr:row>
      <xdr:rowOff>152400</xdr:rowOff>
    </xdr:to>
    <xdr:sp macro="" textlink="">
      <xdr:nvSpPr>
        <xdr:cNvPr id="6" name="Freccia in giù 5"/>
        <xdr:cNvSpPr/>
      </xdr:nvSpPr>
      <xdr:spPr>
        <a:xfrm>
          <a:off x="4808220" y="1027938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63</xdr:row>
      <xdr:rowOff>45720</xdr:rowOff>
    </xdr:from>
    <xdr:to>
      <xdr:col>3</xdr:col>
      <xdr:colOff>1828800</xdr:colOff>
      <xdr:row>66</xdr:row>
      <xdr:rowOff>152400</xdr:rowOff>
    </xdr:to>
    <xdr:sp macro="" textlink="">
      <xdr:nvSpPr>
        <xdr:cNvPr id="7" name="Freccia in giù 6"/>
        <xdr:cNvSpPr/>
      </xdr:nvSpPr>
      <xdr:spPr>
        <a:xfrm>
          <a:off x="4808220" y="1232154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1432560</xdr:colOff>
      <xdr:row>18</xdr:row>
      <xdr:rowOff>45720</xdr:rowOff>
    </xdr:from>
    <xdr:to>
      <xdr:col>3</xdr:col>
      <xdr:colOff>1805940</xdr:colOff>
      <xdr:row>21</xdr:row>
      <xdr:rowOff>160020</xdr:rowOff>
    </xdr:to>
    <xdr:sp macro="" textlink="">
      <xdr:nvSpPr>
        <xdr:cNvPr id="8" name="Freccia in giù 7"/>
        <xdr:cNvSpPr/>
      </xdr:nvSpPr>
      <xdr:spPr>
        <a:xfrm>
          <a:off x="4785360" y="33909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1440180</xdr:colOff>
      <xdr:row>30</xdr:row>
      <xdr:rowOff>45720</xdr:rowOff>
    </xdr:from>
    <xdr:to>
      <xdr:col>3</xdr:col>
      <xdr:colOff>1813560</xdr:colOff>
      <xdr:row>33</xdr:row>
      <xdr:rowOff>160020</xdr:rowOff>
    </xdr:to>
    <xdr:sp macro="" textlink="">
      <xdr:nvSpPr>
        <xdr:cNvPr id="9" name="Freccia in giù 8"/>
        <xdr:cNvSpPr/>
      </xdr:nvSpPr>
      <xdr:spPr>
        <a:xfrm>
          <a:off x="4792980" y="581406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41</xdr:row>
      <xdr:rowOff>45720</xdr:rowOff>
    </xdr:from>
    <xdr:to>
      <xdr:col>3</xdr:col>
      <xdr:colOff>1828800</xdr:colOff>
      <xdr:row>44</xdr:row>
      <xdr:rowOff>152400</xdr:rowOff>
    </xdr:to>
    <xdr:sp macro="" textlink="">
      <xdr:nvSpPr>
        <xdr:cNvPr id="10" name="Freccia in giù 9"/>
        <xdr:cNvSpPr/>
      </xdr:nvSpPr>
      <xdr:spPr>
        <a:xfrm>
          <a:off x="4808220" y="804672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52</xdr:row>
      <xdr:rowOff>45720</xdr:rowOff>
    </xdr:from>
    <xdr:to>
      <xdr:col>3</xdr:col>
      <xdr:colOff>1828800</xdr:colOff>
      <xdr:row>55</xdr:row>
      <xdr:rowOff>152400</xdr:rowOff>
    </xdr:to>
    <xdr:sp macro="" textlink="">
      <xdr:nvSpPr>
        <xdr:cNvPr id="11" name="Freccia in giù 10"/>
        <xdr:cNvSpPr/>
      </xdr:nvSpPr>
      <xdr:spPr>
        <a:xfrm>
          <a:off x="4808220" y="1027938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63</xdr:row>
      <xdr:rowOff>45720</xdr:rowOff>
    </xdr:from>
    <xdr:to>
      <xdr:col>3</xdr:col>
      <xdr:colOff>1828800</xdr:colOff>
      <xdr:row>66</xdr:row>
      <xdr:rowOff>152400</xdr:rowOff>
    </xdr:to>
    <xdr:sp macro="" textlink="">
      <xdr:nvSpPr>
        <xdr:cNvPr id="12" name="Freccia in giù 11"/>
        <xdr:cNvSpPr/>
      </xdr:nvSpPr>
      <xdr:spPr>
        <a:xfrm>
          <a:off x="4808220" y="1232154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1432560</xdr:colOff>
      <xdr:row>18</xdr:row>
      <xdr:rowOff>45720</xdr:rowOff>
    </xdr:from>
    <xdr:to>
      <xdr:col>3</xdr:col>
      <xdr:colOff>1805940</xdr:colOff>
      <xdr:row>21</xdr:row>
      <xdr:rowOff>160020</xdr:rowOff>
    </xdr:to>
    <xdr:sp macro="" textlink="">
      <xdr:nvSpPr>
        <xdr:cNvPr id="2" name="Freccia in giù 1"/>
        <xdr:cNvSpPr/>
      </xdr:nvSpPr>
      <xdr:spPr>
        <a:xfrm>
          <a:off x="4785360" y="33909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1440180</xdr:colOff>
      <xdr:row>30</xdr:row>
      <xdr:rowOff>45720</xdr:rowOff>
    </xdr:from>
    <xdr:to>
      <xdr:col>3</xdr:col>
      <xdr:colOff>1813560</xdr:colOff>
      <xdr:row>33</xdr:row>
      <xdr:rowOff>160020</xdr:rowOff>
    </xdr:to>
    <xdr:sp macro="" textlink="">
      <xdr:nvSpPr>
        <xdr:cNvPr id="3" name="Freccia in giù 2"/>
        <xdr:cNvSpPr/>
      </xdr:nvSpPr>
      <xdr:spPr>
        <a:xfrm>
          <a:off x="4792980" y="581406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41</xdr:row>
      <xdr:rowOff>45720</xdr:rowOff>
    </xdr:from>
    <xdr:to>
      <xdr:col>3</xdr:col>
      <xdr:colOff>1828800</xdr:colOff>
      <xdr:row>44</xdr:row>
      <xdr:rowOff>152400</xdr:rowOff>
    </xdr:to>
    <xdr:sp macro="" textlink="">
      <xdr:nvSpPr>
        <xdr:cNvPr id="4" name="Freccia in giù 3"/>
        <xdr:cNvSpPr/>
      </xdr:nvSpPr>
      <xdr:spPr>
        <a:xfrm>
          <a:off x="4808220" y="804672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52</xdr:row>
      <xdr:rowOff>45720</xdr:rowOff>
    </xdr:from>
    <xdr:to>
      <xdr:col>3</xdr:col>
      <xdr:colOff>1828800</xdr:colOff>
      <xdr:row>55</xdr:row>
      <xdr:rowOff>152400</xdr:rowOff>
    </xdr:to>
    <xdr:sp macro="" textlink="">
      <xdr:nvSpPr>
        <xdr:cNvPr id="5" name="Freccia in giù 4"/>
        <xdr:cNvSpPr/>
      </xdr:nvSpPr>
      <xdr:spPr>
        <a:xfrm>
          <a:off x="4808220" y="1027938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1455420</xdr:colOff>
      <xdr:row>63</xdr:row>
      <xdr:rowOff>45720</xdr:rowOff>
    </xdr:from>
    <xdr:to>
      <xdr:col>3</xdr:col>
      <xdr:colOff>1828800</xdr:colOff>
      <xdr:row>66</xdr:row>
      <xdr:rowOff>152400</xdr:rowOff>
    </xdr:to>
    <xdr:sp macro="" textlink="">
      <xdr:nvSpPr>
        <xdr:cNvPr id="6" name="Freccia in giù 5"/>
        <xdr:cNvSpPr/>
      </xdr:nvSpPr>
      <xdr:spPr>
        <a:xfrm>
          <a:off x="4808220" y="12321540"/>
          <a:ext cx="373380" cy="65532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1417320</xdr:colOff>
      <xdr:row>10</xdr:row>
      <xdr:rowOff>45720</xdr:rowOff>
    </xdr:from>
    <xdr:to>
      <xdr:col>3</xdr:col>
      <xdr:colOff>1790700</xdr:colOff>
      <xdr:row>13</xdr:row>
      <xdr:rowOff>160020</xdr:rowOff>
    </xdr:to>
    <xdr:sp macro="" textlink="">
      <xdr:nvSpPr>
        <xdr:cNvPr id="7" name="Freccia in giù 6"/>
        <xdr:cNvSpPr/>
      </xdr:nvSpPr>
      <xdr:spPr>
        <a:xfrm>
          <a:off x="4800600" y="1905000"/>
          <a:ext cx="373380" cy="662940"/>
        </a:xfrm>
        <a:prstGeom prst="downArrow">
          <a:avLst/>
        </a:prstGeom>
        <a:solidFill>
          <a:srgbClr val="00D66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opLeftCell="A55" workbookViewId="0">
      <selection activeCell="F67" sqref="F67"/>
    </sheetView>
  </sheetViews>
  <sheetFormatPr defaultRowHeight="14.4" x14ac:dyDescent="0.3"/>
  <cols>
    <col min="1" max="1" width="8.33203125" customWidth="1"/>
    <col min="2" max="2" width="27.44140625" customWidth="1"/>
    <col min="3" max="3" width="13.109375" customWidth="1"/>
    <col min="4" max="4" width="83.5546875" customWidth="1"/>
    <col min="8" max="8" width="9.5546875" customWidth="1"/>
    <col min="10" max="10" width="8.6640625" customWidth="1"/>
  </cols>
  <sheetData>
    <row r="1" spans="1:8" ht="15" thickBot="1" x14ac:dyDescent="0.35">
      <c r="B1" s="1"/>
    </row>
    <row r="2" spans="1:8" ht="15" thickBot="1" x14ac:dyDescent="0.35">
      <c r="B2" s="42" t="s">
        <v>0</v>
      </c>
      <c r="C2" s="43"/>
      <c r="D2" s="44"/>
    </row>
    <row r="3" spans="1:8" ht="15" thickBot="1" x14ac:dyDescent="0.35">
      <c r="B3" s="8" t="s">
        <v>3</v>
      </c>
      <c r="C3" s="7" t="s">
        <v>1</v>
      </c>
      <c r="D3" s="7" t="s">
        <v>2</v>
      </c>
    </row>
    <row r="4" spans="1:8" x14ac:dyDescent="0.3">
      <c r="B4" s="9" t="s">
        <v>4</v>
      </c>
      <c r="C4" s="2">
        <v>1.2</v>
      </c>
      <c r="D4" s="15" t="s">
        <v>11</v>
      </c>
    </row>
    <row r="5" spans="1:8" x14ac:dyDescent="0.3">
      <c r="B5" s="11" t="s">
        <v>6</v>
      </c>
      <c r="C5" s="5">
        <v>0.2</v>
      </c>
      <c r="D5" s="16" t="s">
        <v>49</v>
      </c>
    </row>
    <row r="6" spans="1:8" x14ac:dyDescent="0.3">
      <c r="B6" s="11" t="s">
        <v>7</v>
      </c>
      <c r="C6" s="3">
        <v>0.8</v>
      </c>
      <c r="D6" s="17" t="s">
        <v>50</v>
      </c>
    </row>
    <row r="7" spans="1:8" x14ac:dyDescent="0.3">
      <c r="A7" s="10"/>
      <c r="B7" s="12" t="s">
        <v>8</v>
      </c>
      <c r="C7" s="4">
        <v>0.4</v>
      </c>
      <c r="D7" s="18" t="s">
        <v>51</v>
      </c>
      <c r="E7" s="6"/>
      <c r="G7" s="1"/>
      <c r="H7" s="1"/>
    </row>
    <row r="8" spans="1:8" x14ac:dyDescent="0.3">
      <c r="A8" s="10"/>
      <c r="B8" s="12" t="s">
        <v>9</v>
      </c>
      <c r="C8" s="4">
        <v>0.4</v>
      </c>
      <c r="D8" s="19" t="s">
        <v>52</v>
      </c>
    </row>
    <row r="9" spans="1:8" ht="15" thickBot="1" x14ac:dyDescent="0.35">
      <c r="A9" s="10"/>
      <c r="B9" s="13" t="s">
        <v>10</v>
      </c>
      <c r="C9" s="14">
        <v>0.1</v>
      </c>
      <c r="D9" s="20" t="s">
        <v>53</v>
      </c>
    </row>
    <row r="11" spans="1:8" x14ac:dyDescent="0.3">
      <c r="B11" s="22"/>
    </row>
    <row r="15" spans="1:8" ht="15" thickBot="1" x14ac:dyDescent="0.35"/>
    <row r="16" spans="1:8" ht="15" thickBot="1" x14ac:dyDescent="0.35">
      <c r="B16" s="8" t="s">
        <v>3</v>
      </c>
      <c r="C16" s="7" t="s">
        <v>1</v>
      </c>
      <c r="D16" s="7" t="s">
        <v>2</v>
      </c>
    </row>
    <row r="17" spans="2:6" ht="15" thickBot="1" x14ac:dyDescent="0.35">
      <c r="B17" s="23" t="s">
        <v>14</v>
      </c>
      <c r="C17" s="28">
        <f xml:space="preserve"> ROUND(C5 + C6 + C7 + C8 + C9,6)</f>
        <v>1.9</v>
      </c>
      <c r="D17" s="24" t="s">
        <v>15</v>
      </c>
    </row>
    <row r="20" spans="2:6" x14ac:dyDescent="0.3">
      <c r="C20" s="34"/>
    </row>
    <row r="23" spans="2:6" ht="15" thickBot="1" x14ac:dyDescent="0.35"/>
    <row r="24" spans="2:6" ht="15" thickBot="1" x14ac:dyDescent="0.35">
      <c r="B24" s="45" t="s">
        <v>13</v>
      </c>
      <c r="C24" s="46"/>
      <c r="D24" s="47"/>
    </row>
    <row r="25" spans="2:6" ht="15" thickBot="1" x14ac:dyDescent="0.35">
      <c r="B25" s="8" t="s">
        <v>3</v>
      </c>
      <c r="C25" s="7" t="s">
        <v>1</v>
      </c>
      <c r="D25" s="7" t="s">
        <v>2</v>
      </c>
    </row>
    <row r="26" spans="2:6" ht="15" thickBot="1" x14ac:dyDescent="0.35">
      <c r="B26" s="9" t="s">
        <v>5</v>
      </c>
      <c r="C26" s="29">
        <f xml:space="preserve"> ROUND(C5 + C7 + C9,6)</f>
        <v>0.7</v>
      </c>
      <c r="D26" s="15" t="s">
        <v>16</v>
      </c>
      <c r="F26" s="26" t="s">
        <v>44</v>
      </c>
    </row>
    <row r="27" spans="2:6" ht="15" thickBot="1" x14ac:dyDescent="0.35">
      <c r="B27" s="11" t="s">
        <v>18</v>
      </c>
      <c r="C27" s="30">
        <f xml:space="preserve"> ROUND(MIN(C4 * C26, 1),6)</f>
        <v>0.84</v>
      </c>
      <c r="D27" s="16" t="s">
        <v>20</v>
      </c>
      <c r="F27" s="37" t="str">
        <f xml:space="preserve"> IF(C27&lt;1, "Si", "No")</f>
        <v>Si</v>
      </c>
    </row>
    <row r="28" spans="2:6" x14ac:dyDescent="0.3">
      <c r="B28" s="11" t="s">
        <v>17</v>
      </c>
      <c r="C28" s="31">
        <f xml:space="preserve"> IF(F27="No", "∞", ROUND(C26 / (1 - C27),6))</f>
        <v>4.375</v>
      </c>
      <c r="D28" s="17" t="s">
        <v>22</v>
      </c>
      <c r="F28" s="25"/>
    </row>
    <row r="29" spans="2:6" ht="15" thickBot="1" x14ac:dyDescent="0.35">
      <c r="B29" s="11" t="s">
        <v>19</v>
      </c>
      <c r="C29" s="39">
        <f xml:space="preserve"> IF(F27="No", "∞", ROUND(C27 / (1 - C27),6))</f>
        <v>5.25</v>
      </c>
      <c r="D29" s="18" t="s">
        <v>21</v>
      </c>
      <c r="E29" s="6"/>
    </row>
    <row r="30" spans="2:6" x14ac:dyDescent="0.3">
      <c r="B30" s="25"/>
      <c r="C30" s="25"/>
      <c r="D30" s="25"/>
    </row>
    <row r="35" spans="2:6" ht="15" thickBot="1" x14ac:dyDescent="0.35"/>
    <row r="36" spans="2:6" ht="15" thickBot="1" x14ac:dyDescent="0.35">
      <c r="B36" s="45" t="s">
        <v>23</v>
      </c>
      <c r="C36" s="46"/>
      <c r="D36" s="47"/>
    </row>
    <row r="37" spans="2:6" ht="15" thickBot="1" x14ac:dyDescent="0.35">
      <c r="B37" s="8" t="s">
        <v>3</v>
      </c>
      <c r="C37" s="7" t="s">
        <v>1</v>
      </c>
      <c r="D37" s="26" t="s">
        <v>2</v>
      </c>
      <c r="F37" s="26" t="s">
        <v>44</v>
      </c>
    </row>
    <row r="38" spans="2:6" ht="15" thickBot="1" x14ac:dyDescent="0.35">
      <c r="B38" s="27" t="s">
        <v>24</v>
      </c>
      <c r="C38" s="33">
        <f xml:space="preserve"> ROUND(MIN(C6 * C4, 1),6)</f>
        <v>0.96</v>
      </c>
      <c r="D38" s="16" t="s">
        <v>25</v>
      </c>
      <c r="F38" s="38" t="str">
        <f xml:space="preserve"> IF(C38&lt;1, "Si", "No")</f>
        <v>Si</v>
      </c>
    </row>
    <row r="39" spans="2:6" x14ac:dyDescent="0.3">
      <c r="B39" s="11" t="s">
        <v>26</v>
      </c>
      <c r="C39" s="31">
        <f xml:space="preserve"> IF(F38="No", "∞", ROUND(C6 / (1 - C38),6))</f>
        <v>20</v>
      </c>
      <c r="D39" s="17" t="s">
        <v>28</v>
      </c>
    </row>
    <row r="40" spans="2:6" ht="15" thickBot="1" x14ac:dyDescent="0.35">
      <c r="B40" s="11" t="s">
        <v>27</v>
      </c>
      <c r="C40" s="39">
        <f xml:space="preserve"> IF(F38="No", "∞", ROUND(C38 / (1 - C38),6))</f>
        <v>24</v>
      </c>
      <c r="D40" s="18" t="s">
        <v>29</v>
      </c>
      <c r="E40" s="6"/>
    </row>
    <row r="41" spans="2:6" x14ac:dyDescent="0.3">
      <c r="B41" s="25"/>
      <c r="C41" s="25"/>
      <c r="D41" s="25"/>
    </row>
    <row r="46" spans="2:6" ht="15" thickBot="1" x14ac:dyDescent="0.35"/>
    <row r="47" spans="2:6" ht="15" thickBot="1" x14ac:dyDescent="0.35">
      <c r="B47" s="45" t="s">
        <v>30</v>
      </c>
      <c r="C47" s="46"/>
      <c r="D47" s="47"/>
    </row>
    <row r="48" spans="2:6" ht="15" thickBot="1" x14ac:dyDescent="0.35">
      <c r="B48" s="8" t="s">
        <v>3</v>
      </c>
      <c r="C48" s="7" t="s">
        <v>1</v>
      </c>
      <c r="D48" s="26" t="s">
        <v>2</v>
      </c>
      <c r="F48" s="26" t="s">
        <v>44</v>
      </c>
    </row>
    <row r="49" spans="2:6" ht="15" thickBot="1" x14ac:dyDescent="0.35">
      <c r="B49" s="27" t="s">
        <v>31</v>
      </c>
      <c r="C49" s="33">
        <f xml:space="preserve"> ROUND(MIN(C8 * C4, 1),6)</f>
        <v>0.48</v>
      </c>
      <c r="D49" s="16" t="s">
        <v>34</v>
      </c>
      <c r="F49" s="37" t="str">
        <f xml:space="preserve"> IF(C49&lt;1, "Si", "No")</f>
        <v>Si</v>
      </c>
    </row>
    <row r="50" spans="2:6" x14ac:dyDescent="0.3">
      <c r="B50" s="11" t="s">
        <v>32</v>
      </c>
      <c r="C50" s="31">
        <f xml:space="preserve"> IF(F49="No", "∞", ROUND(C8 / (1 - C49),6))</f>
        <v>0.769231</v>
      </c>
      <c r="D50" s="17" t="s">
        <v>35</v>
      </c>
      <c r="F50" s="25"/>
    </row>
    <row r="51" spans="2:6" ht="15" thickBot="1" x14ac:dyDescent="0.35">
      <c r="B51" s="11" t="s">
        <v>33</v>
      </c>
      <c r="C51" s="32">
        <f xml:space="preserve"> IF(F49="No", "∞", ROUND(C49 / (1 - C49),6))</f>
        <v>0.92307700000000004</v>
      </c>
      <c r="D51" s="20" t="s">
        <v>36</v>
      </c>
      <c r="E51" s="6"/>
    </row>
    <row r="52" spans="2:6" x14ac:dyDescent="0.3">
      <c r="B52" s="25"/>
    </row>
    <row r="57" spans="2:6" ht="15" thickBot="1" x14ac:dyDescent="0.35"/>
    <row r="58" spans="2:6" ht="15" thickBot="1" x14ac:dyDescent="0.35">
      <c r="B58" s="45" t="s">
        <v>12</v>
      </c>
      <c r="C58" s="46"/>
      <c r="D58" s="47"/>
    </row>
    <row r="59" spans="2:6" ht="15" thickBot="1" x14ac:dyDescent="0.35">
      <c r="B59" s="8" t="s">
        <v>3</v>
      </c>
      <c r="C59" s="7" t="s">
        <v>1</v>
      </c>
      <c r="D59" s="26" t="s">
        <v>2</v>
      </c>
    </row>
    <row r="60" spans="2:6" x14ac:dyDescent="0.3">
      <c r="B60" s="27" t="s">
        <v>37</v>
      </c>
      <c r="C60" s="33">
        <f xml:space="preserve"> IF(C28="∞", "∞", IF(C39="∞", "∞", IF(C50="∞", "∞", ROUND(C28 + C39 + C50,6))))</f>
        <v>25.144231000000001</v>
      </c>
      <c r="D60" s="16" t="s">
        <v>42</v>
      </c>
    </row>
    <row r="61" spans="2:6" x14ac:dyDescent="0.3">
      <c r="B61" s="11" t="s">
        <v>38</v>
      </c>
      <c r="C61" s="31">
        <f xml:space="preserve"> IF(C29="∞", "∞", IF(C40="∞", "∞", IF(C51="∞", "∞", ROUND(C29 + C40 + C51,6))))</f>
        <v>30.173076999999999</v>
      </c>
      <c r="D61" s="17" t="s">
        <v>41</v>
      </c>
    </row>
    <row r="62" spans="2:6" ht="15" thickBot="1" x14ac:dyDescent="0.35">
      <c r="B62" s="13" t="s">
        <v>39</v>
      </c>
      <c r="C62" s="32">
        <f xml:space="preserve"> ROUND(1 / MAX(C26, C6, C8),6)</f>
        <v>1.25</v>
      </c>
      <c r="D62" s="20" t="s">
        <v>40</v>
      </c>
    </row>
    <row r="68" spans="2:4" ht="15" thickBot="1" x14ac:dyDescent="0.35"/>
    <row r="69" spans="2:4" ht="15" thickBot="1" x14ac:dyDescent="0.35">
      <c r="B69" s="48" t="s">
        <v>43</v>
      </c>
      <c r="C69" s="49"/>
      <c r="D69" s="50"/>
    </row>
    <row r="70" spans="2:4" x14ac:dyDescent="0.3">
      <c r="B70" s="35" t="s">
        <v>45</v>
      </c>
      <c r="C70" s="51" t="s">
        <v>46</v>
      </c>
      <c r="D70" s="52"/>
    </row>
    <row r="71" spans="2:4" ht="15" thickBot="1" x14ac:dyDescent="0.35">
      <c r="B71" s="36" t="s">
        <v>47</v>
      </c>
      <c r="C71" s="40" t="s">
        <v>54</v>
      </c>
      <c r="D71" s="41"/>
    </row>
    <row r="72" spans="2:4" x14ac:dyDescent="0.3">
      <c r="B72" s="25"/>
      <c r="C72" s="25"/>
      <c r="D72" s="25"/>
    </row>
  </sheetData>
  <mergeCells count="8">
    <mergeCell ref="C71:D71"/>
    <mergeCell ref="B2:D2"/>
    <mergeCell ref="B24:D24"/>
    <mergeCell ref="B36:D36"/>
    <mergeCell ref="B47:D47"/>
    <mergeCell ref="B58:D58"/>
    <mergeCell ref="B69:D69"/>
    <mergeCell ref="C70:D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2"/>
  <sheetViews>
    <sheetView topLeftCell="A28" workbookViewId="0">
      <selection activeCell="C17" sqref="C17"/>
    </sheetView>
  </sheetViews>
  <sheetFormatPr defaultRowHeight="14.4" x14ac:dyDescent="0.3"/>
  <cols>
    <col min="1" max="1" width="8.21875" customWidth="1"/>
    <col min="2" max="2" width="27.44140625" customWidth="1"/>
    <col min="3" max="3" width="13.33203125" customWidth="1"/>
    <col min="4" max="4" width="84.44140625" customWidth="1"/>
  </cols>
  <sheetData>
    <row r="1" spans="2:5" ht="15" thickBot="1" x14ac:dyDescent="0.35"/>
    <row r="2" spans="2:5" ht="15" thickBot="1" x14ac:dyDescent="0.35">
      <c r="B2" s="42" t="s">
        <v>0</v>
      </c>
      <c r="C2" s="53"/>
      <c r="D2" s="54"/>
    </row>
    <row r="3" spans="2:5" ht="15" thickBot="1" x14ac:dyDescent="0.35">
      <c r="B3" s="8" t="s">
        <v>3</v>
      </c>
      <c r="C3" s="7" t="s">
        <v>1</v>
      </c>
      <c r="D3" s="7" t="s">
        <v>2</v>
      </c>
    </row>
    <row r="4" spans="2:5" x14ac:dyDescent="0.3">
      <c r="B4" s="9" t="s">
        <v>4</v>
      </c>
      <c r="C4" s="2">
        <v>1.2</v>
      </c>
      <c r="D4" s="15" t="s">
        <v>11</v>
      </c>
    </row>
    <row r="5" spans="2:5" x14ac:dyDescent="0.3">
      <c r="B5" s="11" t="s">
        <v>6</v>
      </c>
      <c r="C5" s="5">
        <v>0.2</v>
      </c>
      <c r="D5" s="16" t="s">
        <v>49</v>
      </c>
    </row>
    <row r="6" spans="2:5" x14ac:dyDescent="0.3">
      <c r="B6" s="11" t="s">
        <v>7</v>
      </c>
      <c r="C6" s="3">
        <v>0.8</v>
      </c>
      <c r="D6" s="17" t="s">
        <v>50</v>
      </c>
    </row>
    <row r="7" spans="2:5" x14ac:dyDescent="0.3">
      <c r="B7" s="21" t="s">
        <v>8</v>
      </c>
      <c r="C7" s="4">
        <v>0.4</v>
      </c>
      <c r="D7" s="18" t="s">
        <v>51</v>
      </c>
      <c r="E7" s="6"/>
    </row>
    <row r="8" spans="2:5" x14ac:dyDescent="0.3">
      <c r="B8" s="21" t="s">
        <v>9</v>
      </c>
      <c r="C8" s="4">
        <v>0.7</v>
      </c>
      <c r="D8" s="19" t="s">
        <v>52</v>
      </c>
    </row>
    <row r="9" spans="2:5" ht="15" thickBot="1" x14ac:dyDescent="0.35">
      <c r="B9" s="13" t="s">
        <v>10</v>
      </c>
      <c r="C9" s="14">
        <v>0.15</v>
      </c>
      <c r="D9" s="20" t="s">
        <v>53</v>
      </c>
    </row>
    <row r="15" spans="2:5" ht="15" thickBot="1" x14ac:dyDescent="0.35"/>
    <row r="16" spans="2:5" ht="15" thickBot="1" x14ac:dyDescent="0.35">
      <c r="B16" s="8" t="s">
        <v>3</v>
      </c>
      <c r="C16" s="7" t="s">
        <v>1</v>
      </c>
      <c r="D16" s="7" t="s">
        <v>2</v>
      </c>
    </row>
    <row r="17" spans="2:6" ht="15" thickBot="1" x14ac:dyDescent="0.35">
      <c r="B17" s="23" t="s">
        <v>14</v>
      </c>
      <c r="C17" s="28">
        <f xml:space="preserve"> ROUND(C5 + C6 + C7 + C8 + C9,6)</f>
        <v>2.25</v>
      </c>
      <c r="D17" s="24" t="s">
        <v>15</v>
      </c>
    </row>
    <row r="20" spans="2:6" x14ac:dyDescent="0.3">
      <c r="C20" s="34"/>
    </row>
    <row r="23" spans="2:6" ht="15" thickBot="1" x14ac:dyDescent="0.35"/>
    <row r="24" spans="2:6" ht="15" thickBot="1" x14ac:dyDescent="0.35">
      <c r="B24" s="45" t="s">
        <v>13</v>
      </c>
      <c r="C24" s="46"/>
      <c r="D24" s="47"/>
    </row>
    <row r="25" spans="2:6" ht="15" thickBot="1" x14ac:dyDescent="0.35">
      <c r="B25" s="8" t="s">
        <v>3</v>
      </c>
      <c r="C25" s="7" t="s">
        <v>1</v>
      </c>
      <c r="D25" s="7" t="s">
        <v>2</v>
      </c>
    </row>
    <row r="26" spans="2:6" ht="15" thickBot="1" x14ac:dyDescent="0.35">
      <c r="B26" s="9" t="s">
        <v>5</v>
      </c>
      <c r="C26" s="29">
        <f xml:space="preserve"> ROUND(C5 + C7 + C9,6)</f>
        <v>0.75</v>
      </c>
      <c r="D26" s="15" t="s">
        <v>16</v>
      </c>
      <c r="F26" s="26" t="s">
        <v>44</v>
      </c>
    </row>
    <row r="27" spans="2:6" ht="15" thickBot="1" x14ac:dyDescent="0.35">
      <c r="B27" s="11" t="s">
        <v>18</v>
      </c>
      <c r="C27" s="30">
        <f xml:space="preserve"> ROUND(MIN(C4 * C26, 1),6)</f>
        <v>0.9</v>
      </c>
      <c r="D27" s="16" t="s">
        <v>20</v>
      </c>
      <c r="F27" s="37" t="str">
        <f xml:space="preserve"> IF(C27&lt;1, "Si", "No")</f>
        <v>Si</v>
      </c>
    </row>
    <row r="28" spans="2:6" x14ac:dyDescent="0.3">
      <c r="B28" s="11" t="s">
        <v>17</v>
      </c>
      <c r="C28" s="31">
        <f xml:space="preserve"> IF(F27="No", "∞", ROUND(C26 / (1 - C27),6))</f>
        <v>7.5</v>
      </c>
      <c r="D28" s="17" t="s">
        <v>22</v>
      </c>
      <c r="F28" s="25"/>
    </row>
    <row r="29" spans="2:6" ht="15" thickBot="1" x14ac:dyDescent="0.35">
      <c r="B29" s="11" t="s">
        <v>19</v>
      </c>
      <c r="C29" s="39">
        <f xml:space="preserve"> IF(F27="No", "∞", ROUND(C27 / (1 - C27),6))</f>
        <v>9</v>
      </c>
      <c r="D29" s="18" t="s">
        <v>21</v>
      </c>
      <c r="E29" s="6"/>
    </row>
    <row r="30" spans="2:6" x14ac:dyDescent="0.3">
      <c r="B30" s="25"/>
      <c r="C30" s="25"/>
      <c r="D30" s="25"/>
    </row>
    <row r="35" spans="2:6" ht="15" thickBot="1" x14ac:dyDescent="0.35"/>
    <row r="36" spans="2:6" ht="15" thickBot="1" x14ac:dyDescent="0.35">
      <c r="B36" s="45" t="s">
        <v>23</v>
      </c>
      <c r="C36" s="46"/>
      <c r="D36" s="47"/>
    </row>
    <row r="37" spans="2:6" ht="15" thickBot="1" x14ac:dyDescent="0.35">
      <c r="B37" s="8" t="s">
        <v>3</v>
      </c>
      <c r="C37" s="7" t="s">
        <v>1</v>
      </c>
      <c r="D37" s="26" t="s">
        <v>2</v>
      </c>
      <c r="F37" s="26" t="s">
        <v>44</v>
      </c>
    </row>
    <row r="38" spans="2:6" ht="15" thickBot="1" x14ac:dyDescent="0.35">
      <c r="B38" s="27" t="s">
        <v>24</v>
      </c>
      <c r="C38" s="33">
        <f xml:space="preserve"> ROUND(MIN(C6 * C4, 1),6)</f>
        <v>0.96</v>
      </c>
      <c r="D38" s="16" t="s">
        <v>25</v>
      </c>
      <c r="F38" s="38" t="str">
        <f xml:space="preserve"> IF(C38&lt;1, "Si", "No")</f>
        <v>Si</v>
      </c>
    </row>
    <row r="39" spans="2:6" x14ac:dyDescent="0.3">
      <c r="B39" s="11" t="s">
        <v>26</v>
      </c>
      <c r="C39" s="31">
        <f xml:space="preserve"> IF(F38="No", "∞", ROUND(C6 / (1 - C38),6))</f>
        <v>20</v>
      </c>
      <c r="D39" s="17" t="s">
        <v>28</v>
      </c>
    </row>
    <row r="40" spans="2:6" ht="15" thickBot="1" x14ac:dyDescent="0.35">
      <c r="B40" s="11" t="s">
        <v>27</v>
      </c>
      <c r="C40" s="39">
        <f xml:space="preserve"> IF(F38="No", "∞", ROUND(C38 / (1 - C38),6))</f>
        <v>24</v>
      </c>
      <c r="D40" s="18" t="s">
        <v>29</v>
      </c>
      <c r="E40" s="6"/>
    </row>
    <row r="41" spans="2:6" x14ac:dyDescent="0.3">
      <c r="B41" s="25"/>
      <c r="C41" s="25"/>
      <c r="D41" s="25"/>
    </row>
    <row r="46" spans="2:6" ht="15" thickBot="1" x14ac:dyDescent="0.35"/>
    <row r="47" spans="2:6" ht="15" thickBot="1" x14ac:dyDescent="0.35">
      <c r="B47" s="45" t="s">
        <v>30</v>
      </c>
      <c r="C47" s="46"/>
      <c r="D47" s="47"/>
    </row>
    <row r="48" spans="2:6" ht="15" thickBot="1" x14ac:dyDescent="0.35">
      <c r="B48" s="8" t="s">
        <v>3</v>
      </c>
      <c r="C48" s="7" t="s">
        <v>1</v>
      </c>
      <c r="D48" s="26" t="s">
        <v>2</v>
      </c>
      <c r="F48" s="26" t="s">
        <v>44</v>
      </c>
    </row>
    <row r="49" spans="2:6" ht="15" thickBot="1" x14ac:dyDescent="0.35">
      <c r="B49" s="27" t="s">
        <v>31</v>
      </c>
      <c r="C49" s="33">
        <f xml:space="preserve"> ROUND(MIN(C8 * C4, 1),6)</f>
        <v>0.84</v>
      </c>
      <c r="D49" s="16" t="s">
        <v>34</v>
      </c>
      <c r="F49" s="37" t="str">
        <f xml:space="preserve"> IF(C49&lt;1, "Si", "No")</f>
        <v>Si</v>
      </c>
    </row>
    <row r="50" spans="2:6" x14ac:dyDescent="0.3">
      <c r="B50" s="11" t="s">
        <v>32</v>
      </c>
      <c r="C50" s="31">
        <f xml:space="preserve"> IF(F49="No", "∞", ROUND(C8 / (1 - C49),6))</f>
        <v>4.375</v>
      </c>
      <c r="D50" s="17" t="s">
        <v>35</v>
      </c>
      <c r="F50" s="25"/>
    </row>
    <row r="51" spans="2:6" ht="15" thickBot="1" x14ac:dyDescent="0.35">
      <c r="B51" s="11" t="s">
        <v>33</v>
      </c>
      <c r="C51" s="39">
        <f xml:space="preserve"> IF(F49="No", "∞", ROUND(C49 / (1 - C49),6))</f>
        <v>5.25</v>
      </c>
      <c r="D51" s="20" t="s">
        <v>36</v>
      </c>
      <c r="E51" s="6"/>
    </row>
    <row r="52" spans="2:6" x14ac:dyDescent="0.3">
      <c r="B52" s="25"/>
      <c r="C52" s="25"/>
    </row>
    <row r="57" spans="2:6" ht="15" thickBot="1" x14ac:dyDescent="0.35"/>
    <row r="58" spans="2:6" ht="15" thickBot="1" x14ac:dyDescent="0.35">
      <c r="B58" s="45" t="s">
        <v>12</v>
      </c>
      <c r="C58" s="46"/>
      <c r="D58" s="47"/>
    </row>
    <row r="59" spans="2:6" ht="15" thickBot="1" x14ac:dyDescent="0.35">
      <c r="B59" s="8" t="s">
        <v>3</v>
      </c>
      <c r="C59" s="7" t="s">
        <v>1</v>
      </c>
      <c r="D59" s="26" t="s">
        <v>2</v>
      </c>
    </row>
    <row r="60" spans="2:6" x14ac:dyDescent="0.3">
      <c r="B60" s="27" t="s">
        <v>37</v>
      </c>
      <c r="C60" s="33">
        <f xml:space="preserve"> IF(C28="∞", "∞", IF(C39="∞", "∞", IF(C50="∞", "∞", ROUND(C28 + C39 + C50,6))))</f>
        <v>31.875</v>
      </c>
      <c r="D60" s="16" t="s">
        <v>42</v>
      </c>
    </row>
    <row r="61" spans="2:6" x14ac:dyDescent="0.3">
      <c r="B61" s="11" t="s">
        <v>38</v>
      </c>
      <c r="C61" s="31">
        <f xml:space="preserve"> IF(C29="∞", "∞", IF(C40="∞", "∞", IF(C51="∞", "∞", ROUND(C29 + C40 + C51,6))))</f>
        <v>38.25</v>
      </c>
      <c r="D61" s="17" t="s">
        <v>41</v>
      </c>
    </row>
    <row r="62" spans="2:6" ht="15" thickBot="1" x14ac:dyDescent="0.35">
      <c r="B62" s="13" t="s">
        <v>39</v>
      </c>
      <c r="C62" s="32">
        <f xml:space="preserve"> ROUND(1 / MAX(C26, C6, C8),6)</f>
        <v>1.25</v>
      </c>
      <c r="D62" s="20" t="s">
        <v>40</v>
      </c>
    </row>
    <row r="68" spans="2:4" ht="15" thickBot="1" x14ac:dyDescent="0.35"/>
    <row r="69" spans="2:4" ht="15" thickBot="1" x14ac:dyDescent="0.35">
      <c r="B69" s="48" t="s">
        <v>43</v>
      </c>
      <c r="C69" s="49"/>
      <c r="D69" s="50"/>
    </row>
    <row r="70" spans="2:4" x14ac:dyDescent="0.3">
      <c r="B70" s="35" t="s">
        <v>45</v>
      </c>
      <c r="C70" s="51" t="s">
        <v>46</v>
      </c>
      <c r="D70" s="52"/>
    </row>
    <row r="71" spans="2:4" ht="15" thickBot="1" x14ac:dyDescent="0.35">
      <c r="B71" s="36" t="s">
        <v>47</v>
      </c>
      <c r="C71" s="40" t="s">
        <v>54</v>
      </c>
      <c r="D71" s="41"/>
    </row>
    <row r="72" spans="2:4" x14ac:dyDescent="0.3">
      <c r="B72" s="25"/>
      <c r="C72" s="25"/>
      <c r="D72" s="25"/>
    </row>
  </sheetData>
  <mergeCells count="8">
    <mergeCell ref="B69:D69"/>
    <mergeCell ref="C70:D70"/>
    <mergeCell ref="C71:D71"/>
    <mergeCell ref="B2:D2"/>
    <mergeCell ref="B24:D24"/>
    <mergeCell ref="B36:D36"/>
    <mergeCell ref="B47:D47"/>
    <mergeCell ref="B58:D5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2"/>
  <sheetViews>
    <sheetView topLeftCell="A34" workbookViewId="0">
      <selection activeCell="C17" sqref="C17"/>
    </sheetView>
  </sheetViews>
  <sheetFormatPr defaultRowHeight="14.4" x14ac:dyDescent="0.3"/>
  <cols>
    <col min="1" max="1" width="8.109375" customWidth="1"/>
    <col min="2" max="2" width="27.44140625" customWidth="1"/>
    <col min="3" max="3" width="13.88671875" customWidth="1"/>
    <col min="4" max="4" width="83.5546875" customWidth="1"/>
  </cols>
  <sheetData>
    <row r="1" spans="2:5" ht="15" thickBot="1" x14ac:dyDescent="0.35"/>
    <row r="2" spans="2:5" ht="15" thickBot="1" x14ac:dyDescent="0.35">
      <c r="B2" s="42" t="s">
        <v>0</v>
      </c>
      <c r="C2" s="53"/>
      <c r="D2" s="54"/>
    </row>
    <row r="3" spans="2:5" ht="15" thickBot="1" x14ac:dyDescent="0.35">
      <c r="B3" s="8" t="s">
        <v>3</v>
      </c>
      <c r="C3" s="7" t="s">
        <v>1</v>
      </c>
      <c r="D3" s="7" t="s">
        <v>2</v>
      </c>
    </row>
    <row r="4" spans="2:5" x14ac:dyDescent="0.3">
      <c r="B4" s="9" t="s">
        <v>4</v>
      </c>
      <c r="C4" s="2">
        <v>1.4</v>
      </c>
      <c r="D4" s="15" t="s">
        <v>11</v>
      </c>
    </row>
    <row r="5" spans="2:5" x14ac:dyDescent="0.3">
      <c r="B5" s="11" t="s">
        <v>6</v>
      </c>
      <c r="C5" s="5">
        <v>0.2</v>
      </c>
      <c r="D5" s="16" t="s">
        <v>49</v>
      </c>
    </row>
    <row r="6" spans="2:5" x14ac:dyDescent="0.3">
      <c r="B6" s="11" t="s">
        <v>7</v>
      </c>
      <c r="C6" s="3">
        <v>0.8</v>
      </c>
      <c r="D6" s="17" t="s">
        <v>50</v>
      </c>
    </row>
    <row r="7" spans="2:5" x14ac:dyDescent="0.3">
      <c r="B7" s="21" t="s">
        <v>8</v>
      </c>
      <c r="C7" s="4">
        <v>0.4</v>
      </c>
      <c r="D7" s="18" t="s">
        <v>51</v>
      </c>
      <c r="E7" s="6"/>
    </row>
    <row r="8" spans="2:5" x14ac:dyDescent="0.3">
      <c r="B8" s="21" t="s">
        <v>9</v>
      </c>
      <c r="C8" s="4">
        <v>0.4</v>
      </c>
      <c r="D8" s="19" t="s">
        <v>52</v>
      </c>
    </row>
    <row r="9" spans="2:5" ht="15" thickBot="1" x14ac:dyDescent="0.35">
      <c r="B9" s="13" t="s">
        <v>10</v>
      </c>
      <c r="C9" s="14">
        <v>0.1</v>
      </c>
      <c r="D9" s="20" t="s">
        <v>53</v>
      </c>
    </row>
    <row r="11" spans="2:5" x14ac:dyDescent="0.3">
      <c r="B11" s="22"/>
    </row>
    <row r="15" spans="2:5" ht="15" thickBot="1" x14ac:dyDescent="0.35"/>
    <row r="16" spans="2:5" ht="15" thickBot="1" x14ac:dyDescent="0.35">
      <c r="B16" s="8" t="s">
        <v>3</v>
      </c>
      <c r="C16" s="7" t="s">
        <v>1</v>
      </c>
      <c r="D16" s="7" t="s">
        <v>2</v>
      </c>
    </row>
    <row r="17" spans="2:6" ht="15" thickBot="1" x14ac:dyDescent="0.35">
      <c r="B17" s="23" t="s">
        <v>14</v>
      </c>
      <c r="C17" s="28">
        <f xml:space="preserve"> ROUND(C5 + C6 + C7 + C8 + C9,6)</f>
        <v>1.9</v>
      </c>
      <c r="D17" s="24" t="s">
        <v>15</v>
      </c>
    </row>
    <row r="20" spans="2:6" x14ac:dyDescent="0.3">
      <c r="C20" s="34"/>
    </row>
    <row r="23" spans="2:6" ht="15" thickBot="1" x14ac:dyDescent="0.35"/>
    <row r="24" spans="2:6" ht="15" thickBot="1" x14ac:dyDescent="0.35">
      <c r="B24" s="45" t="s">
        <v>13</v>
      </c>
      <c r="C24" s="46"/>
      <c r="D24" s="47"/>
    </row>
    <row r="25" spans="2:6" ht="15" thickBot="1" x14ac:dyDescent="0.35">
      <c r="B25" s="8" t="s">
        <v>3</v>
      </c>
      <c r="C25" s="7" t="s">
        <v>1</v>
      </c>
      <c r="D25" s="7" t="s">
        <v>2</v>
      </c>
    </row>
    <row r="26" spans="2:6" ht="15" thickBot="1" x14ac:dyDescent="0.35">
      <c r="B26" s="9" t="s">
        <v>5</v>
      </c>
      <c r="C26" s="29">
        <f xml:space="preserve"> ROUND(C5 + C7 + C9,6)</f>
        <v>0.7</v>
      </c>
      <c r="D26" s="15" t="s">
        <v>16</v>
      </c>
      <c r="F26" s="26" t="s">
        <v>44</v>
      </c>
    </row>
    <row r="27" spans="2:6" ht="15" thickBot="1" x14ac:dyDescent="0.35">
      <c r="B27" s="11" t="s">
        <v>18</v>
      </c>
      <c r="C27" s="30">
        <f xml:space="preserve"> ROUND(MIN(C4 * C26, 1),6)</f>
        <v>0.98</v>
      </c>
      <c r="D27" s="16" t="s">
        <v>20</v>
      </c>
      <c r="F27" s="37" t="str">
        <f xml:space="preserve"> IF(C27&lt;1, "Si", "No")</f>
        <v>Si</v>
      </c>
    </row>
    <row r="28" spans="2:6" x14ac:dyDescent="0.3">
      <c r="B28" s="11" t="s">
        <v>17</v>
      </c>
      <c r="C28" s="31">
        <f xml:space="preserve"> IF(F27="No", "∞", ROUND(C26 / (1 - C27),6))</f>
        <v>35</v>
      </c>
      <c r="D28" s="17" t="s">
        <v>22</v>
      </c>
      <c r="F28" s="25"/>
    </row>
    <row r="29" spans="2:6" ht="15" thickBot="1" x14ac:dyDescent="0.35">
      <c r="B29" s="11" t="s">
        <v>19</v>
      </c>
      <c r="C29" s="32">
        <f xml:space="preserve"> IF(F27="No", "∞", ROUND(C27 / (1 - C27),6))</f>
        <v>49</v>
      </c>
      <c r="D29" s="18" t="s">
        <v>21</v>
      </c>
      <c r="E29" s="6"/>
    </row>
    <row r="30" spans="2:6" x14ac:dyDescent="0.3">
      <c r="B30" s="25"/>
      <c r="D30" s="25"/>
    </row>
    <row r="35" spans="2:6" ht="15" thickBot="1" x14ac:dyDescent="0.35"/>
    <row r="36" spans="2:6" ht="15" thickBot="1" x14ac:dyDescent="0.35">
      <c r="B36" s="45" t="s">
        <v>23</v>
      </c>
      <c r="C36" s="46"/>
      <c r="D36" s="47"/>
    </row>
    <row r="37" spans="2:6" ht="15" thickBot="1" x14ac:dyDescent="0.35">
      <c r="B37" s="8" t="s">
        <v>3</v>
      </c>
      <c r="C37" s="7" t="s">
        <v>1</v>
      </c>
      <c r="D37" s="26" t="s">
        <v>2</v>
      </c>
      <c r="F37" s="26" t="s">
        <v>44</v>
      </c>
    </row>
    <row r="38" spans="2:6" ht="15" thickBot="1" x14ac:dyDescent="0.35">
      <c r="B38" s="27" t="s">
        <v>24</v>
      </c>
      <c r="C38" s="33">
        <f xml:space="preserve"> ROUND(MIN(C6 * C4, 1),6)</f>
        <v>1</v>
      </c>
      <c r="D38" s="16" t="s">
        <v>25</v>
      </c>
      <c r="F38" s="38" t="str">
        <f xml:space="preserve"> IF(C38&lt;1, "Si", "No")</f>
        <v>No</v>
      </c>
    </row>
    <row r="39" spans="2:6" x14ac:dyDescent="0.3">
      <c r="B39" s="11" t="s">
        <v>26</v>
      </c>
      <c r="C39" s="31" t="str">
        <f xml:space="preserve"> IF(F38="No", "∞", ROUND(C6 / (1 - C38),6))</f>
        <v>∞</v>
      </c>
      <c r="D39" s="17" t="s">
        <v>28</v>
      </c>
    </row>
    <row r="40" spans="2:6" ht="15" thickBot="1" x14ac:dyDescent="0.35">
      <c r="B40" s="13" t="s">
        <v>27</v>
      </c>
      <c r="C40" s="32" t="str">
        <f xml:space="preserve"> IF(F38="No", "∞", ROUND(C38 / (1 - C38),6))</f>
        <v>∞</v>
      </c>
      <c r="D40" s="20" t="s">
        <v>29</v>
      </c>
      <c r="E40" s="6"/>
    </row>
    <row r="41" spans="2:6" x14ac:dyDescent="0.3">
      <c r="B41" s="25"/>
      <c r="C41" s="25"/>
    </row>
    <row r="46" spans="2:6" ht="15" thickBot="1" x14ac:dyDescent="0.35"/>
    <row r="47" spans="2:6" ht="15" thickBot="1" x14ac:dyDescent="0.35">
      <c r="B47" s="45" t="s">
        <v>30</v>
      </c>
      <c r="C47" s="46"/>
      <c r="D47" s="47"/>
    </row>
    <row r="48" spans="2:6" ht="15" thickBot="1" x14ac:dyDescent="0.35">
      <c r="B48" s="8" t="s">
        <v>3</v>
      </c>
      <c r="C48" s="7" t="s">
        <v>1</v>
      </c>
      <c r="D48" s="26" t="s">
        <v>2</v>
      </c>
      <c r="F48" s="26" t="s">
        <v>44</v>
      </c>
    </row>
    <row r="49" spans="2:6" ht="15" thickBot="1" x14ac:dyDescent="0.35">
      <c r="B49" s="27" t="s">
        <v>31</v>
      </c>
      <c r="C49" s="33">
        <f xml:space="preserve"> ROUND(MIN(C8 * C4, 1),6)</f>
        <v>0.56000000000000005</v>
      </c>
      <c r="D49" s="16" t="s">
        <v>34</v>
      </c>
      <c r="F49" s="37" t="str">
        <f xml:space="preserve"> IF(C49&lt;1, "Si", "No")</f>
        <v>Si</v>
      </c>
    </row>
    <row r="50" spans="2:6" x14ac:dyDescent="0.3">
      <c r="B50" s="11" t="s">
        <v>32</v>
      </c>
      <c r="C50" s="31">
        <f xml:space="preserve"> IF(F49="No", "∞", ROUND(C8 / (1 - C49),6))</f>
        <v>0.90909099999999998</v>
      </c>
      <c r="D50" s="17" t="s">
        <v>35</v>
      </c>
      <c r="F50" s="25"/>
    </row>
    <row r="51" spans="2:6" ht="15" thickBot="1" x14ac:dyDescent="0.35">
      <c r="B51" s="11" t="s">
        <v>33</v>
      </c>
      <c r="C51" s="39">
        <f xml:space="preserve"> IF(F49="No", "∞", ROUND(C49 / (1 - C49),6))</f>
        <v>1.2727269999999999</v>
      </c>
      <c r="D51" s="20" t="s">
        <v>36</v>
      </c>
      <c r="E51" s="6"/>
    </row>
    <row r="52" spans="2:6" x14ac:dyDescent="0.3">
      <c r="B52" s="25"/>
      <c r="C52" s="25"/>
    </row>
    <row r="57" spans="2:6" ht="15" thickBot="1" x14ac:dyDescent="0.35"/>
    <row r="58" spans="2:6" ht="15" thickBot="1" x14ac:dyDescent="0.35">
      <c r="B58" s="45" t="s">
        <v>12</v>
      </c>
      <c r="C58" s="46"/>
      <c r="D58" s="47"/>
    </row>
    <row r="59" spans="2:6" ht="15" thickBot="1" x14ac:dyDescent="0.35">
      <c r="B59" s="8" t="s">
        <v>3</v>
      </c>
      <c r="C59" s="7" t="s">
        <v>1</v>
      </c>
      <c r="D59" s="26" t="s">
        <v>2</v>
      </c>
    </row>
    <row r="60" spans="2:6" x14ac:dyDescent="0.3">
      <c r="B60" s="27" t="s">
        <v>37</v>
      </c>
      <c r="C60" s="33" t="str">
        <f xml:space="preserve"> IF(C28="∞", "∞", IF(C39="∞", "∞", IF(C50="∞", "∞", ROUND(C28 + C39 + C50,6))))</f>
        <v>∞</v>
      </c>
      <c r="D60" s="16" t="s">
        <v>42</v>
      </c>
    </row>
    <row r="61" spans="2:6" x14ac:dyDescent="0.3">
      <c r="B61" s="11" t="s">
        <v>38</v>
      </c>
      <c r="C61" s="31" t="str">
        <f xml:space="preserve"> IF(C29="∞", "∞", IF(C40="∞", "∞", IF(C51="∞", "∞", ROUND(C29 + C40 + C51,6))))</f>
        <v>∞</v>
      </c>
      <c r="D61" s="17" t="s">
        <v>41</v>
      </c>
    </row>
    <row r="62" spans="2:6" ht="15" thickBot="1" x14ac:dyDescent="0.35">
      <c r="B62" s="13" t="s">
        <v>39</v>
      </c>
      <c r="C62" s="32">
        <f xml:space="preserve"> ROUND(1 / MAX(C26, C6, C8),6)</f>
        <v>1.25</v>
      </c>
      <c r="D62" s="20" t="s">
        <v>40</v>
      </c>
    </row>
    <row r="68" spans="2:4" ht="15" thickBot="1" x14ac:dyDescent="0.35"/>
    <row r="69" spans="2:4" ht="15" thickBot="1" x14ac:dyDescent="0.35">
      <c r="B69" s="48" t="s">
        <v>43</v>
      </c>
      <c r="C69" s="49"/>
      <c r="D69" s="50"/>
    </row>
    <row r="70" spans="2:4" x14ac:dyDescent="0.3">
      <c r="B70" s="35" t="s">
        <v>45</v>
      </c>
      <c r="C70" s="51" t="s">
        <v>48</v>
      </c>
      <c r="D70" s="52"/>
    </row>
    <row r="71" spans="2:4" ht="15" thickBot="1" x14ac:dyDescent="0.35">
      <c r="B71" s="36" t="s">
        <v>47</v>
      </c>
      <c r="C71" s="40" t="s">
        <v>54</v>
      </c>
      <c r="D71" s="41"/>
    </row>
    <row r="72" spans="2:4" x14ac:dyDescent="0.3">
      <c r="B72" s="25"/>
      <c r="C72" s="25"/>
      <c r="D72" s="25"/>
    </row>
  </sheetData>
  <mergeCells count="8">
    <mergeCell ref="C70:D70"/>
    <mergeCell ref="C71:D71"/>
    <mergeCell ref="B2:D2"/>
    <mergeCell ref="B24:D24"/>
    <mergeCell ref="B36:D36"/>
    <mergeCell ref="B47:D47"/>
    <mergeCell ref="B58:D58"/>
    <mergeCell ref="B69:D6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2"/>
  <sheetViews>
    <sheetView tabSelected="1" topLeftCell="A31" workbookViewId="0">
      <selection activeCell="C17" sqref="C17"/>
    </sheetView>
  </sheetViews>
  <sheetFormatPr defaultRowHeight="14.4" x14ac:dyDescent="0.3"/>
  <cols>
    <col min="1" max="1" width="8.109375" customWidth="1"/>
    <col min="2" max="2" width="27.5546875" customWidth="1"/>
    <col min="3" max="3" width="13.6640625" customWidth="1"/>
    <col min="4" max="4" width="84.44140625" customWidth="1"/>
  </cols>
  <sheetData>
    <row r="1" spans="2:5" ht="15" thickBot="1" x14ac:dyDescent="0.35"/>
    <row r="2" spans="2:5" ht="15" thickBot="1" x14ac:dyDescent="0.35">
      <c r="B2" s="42" t="s">
        <v>0</v>
      </c>
      <c r="C2" s="53"/>
      <c r="D2" s="54"/>
    </row>
    <row r="3" spans="2:5" ht="15" thickBot="1" x14ac:dyDescent="0.35">
      <c r="B3" s="8" t="s">
        <v>3</v>
      </c>
      <c r="C3" s="7" t="s">
        <v>1</v>
      </c>
      <c r="D3" s="7" t="s">
        <v>2</v>
      </c>
    </row>
    <row r="4" spans="2:5" x14ac:dyDescent="0.3">
      <c r="B4" s="9" t="s">
        <v>4</v>
      </c>
      <c r="C4" s="2">
        <v>1.4</v>
      </c>
      <c r="D4" s="15" t="s">
        <v>11</v>
      </c>
    </row>
    <row r="5" spans="2:5" x14ac:dyDescent="0.3">
      <c r="B5" s="11" t="s">
        <v>6</v>
      </c>
      <c r="C5" s="5">
        <v>0.2</v>
      </c>
      <c r="D5" s="16" t="s">
        <v>49</v>
      </c>
    </row>
    <row r="6" spans="2:5" x14ac:dyDescent="0.3">
      <c r="B6" s="11" t="s">
        <v>7</v>
      </c>
      <c r="C6" s="3">
        <v>0.4</v>
      </c>
      <c r="D6" s="17" t="s">
        <v>50</v>
      </c>
    </row>
    <row r="7" spans="2:5" x14ac:dyDescent="0.3">
      <c r="B7" s="21" t="s">
        <v>8</v>
      </c>
      <c r="C7" s="4">
        <v>0.4</v>
      </c>
      <c r="D7" s="18" t="s">
        <v>51</v>
      </c>
      <c r="E7" s="6"/>
    </row>
    <row r="8" spans="2:5" x14ac:dyDescent="0.3">
      <c r="B8" s="21" t="s">
        <v>9</v>
      </c>
      <c r="C8" s="4">
        <v>0.4</v>
      </c>
      <c r="D8" s="19" t="s">
        <v>52</v>
      </c>
    </row>
    <row r="9" spans="2:5" ht="15" thickBot="1" x14ac:dyDescent="0.35">
      <c r="B9" s="13" t="s">
        <v>10</v>
      </c>
      <c r="C9" s="14">
        <v>0.1</v>
      </c>
      <c r="D9" s="20" t="s">
        <v>53</v>
      </c>
    </row>
    <row r="15" spans="2:5" ht="15" thickBot="1" x14ac:dyDescent="0.35"/>
    <row r="16" spans="2:5" ht="15" thickBot="1" x14ac:dyDescent="0.35">
      <c r="B16" s="8" t="s">
        <v>3</v>
      </c>
      <c r="C16" s="7" t="s">
        <v>1</v>
      </c>
      <c r="D16" s="7" t="s">
        <v>2</v>
      </c>
    </row>
    <row r="17" spans="2:6" ht="15" thickBot="1" x14ac:dyDescent="0.35">
      <c r="B17" s="23" t="s">
        <v>14</v>
      </c>
      <c r="C17" s="28">
        <f xml:space="preserve"> ROUND(C5 + C6 + C7 + C8 + C9,6)</f>
        <v>1.5</v>
      </c>
      <c r="D17" s="24" t="s">
        <v>15</v>
      </c>
    </row>
    <row r="20" spans="2:6" x14ac:dyDescent="0.3">
      <c r="C20" s="34"/>
    </row>
    <row r="23" spans="2:6" ht="15" thickBot="1" x14ac:dyDescent="0.35"/>
    <row r="24" spans="2:6" ht="15" thickBot="1" x14ac:dyDescent="0.35">
      <c r="B24" s="45" t="s">
        <v>13</v>
      </c>
      <c r="C24" s="46"/>
      <c r="D24" s="47"/>
    </row>
    <row r="25" spans="2:6" ht="15" thickBot="1" x14ac:dyDescent="0.35">
      <c r="B25" s="8" t="s">
        <v>3</v>
      </c>
      <c r="C25" s="7" t="s">
        <v>1</v>
      </c>
      <c r="D25" s="7" t="s">
        <v>2</v>
      </c>
    </row>
    <row r="26" spans="2:6" ht="15" thickBot="1" x14ac:dyDescent="0.35">
      <c r="B26" s="9" t="s">
        <v>5</v>
      </c>
      <c r="C26" s="29">
        <f xml:space="preserve"> ROUND(C5 + C7 + C9,6)</f>
        <v>0.7</v>
      </c>
      <c r="D26" s="15" t="s">
        <v>16</v>
      </c>
      <c r="F26" s="26" t="s">
        <v>44</v>
      </c>
    </row>
    <row r="27" spans="2:6" ht="15" thickBot="1" x14ac:dyDescent="0.35">
      <c r="B27" s="11" t="s">
        <v>18</v>
      </c>
      <c r="C27" s="30">
        <f xml:space="preserve"> ROUND(MIN(C4 * C26, 1),6)</f>
        <v>0.98</v>
      </c>
      <c r="D27" s="16" t="s">
        <v>20</v>
      </c>
      <c r="F27" s="37" t="str">
        <f xml:space="preserve"> IF(C27&lt;1, "Si", "No")</f>
        <v>Si</v>
      </c>
    </row>
    <row r="28" spans="2:6" x14ac:dyDescent="0.3">
      <c r="B28" s="11" t="s">
        <v>17</v>
      </c>
      <c r="C28" s="31">
        <f xml:space="preserve"> IF(F27="No", "∞", ROUND(C26 / (1 - C27),6))</f>
        <v>35</v>
      </c>
      <c r="D28" s="17" t="s">
        <v>22</v>
      </c>
      <c r="F28" s="25"/>
    </row>
    <row r="29" spans="2:6" ht="15" thickBot="1" x14ac:dyDescent="0.35">
      <c r="B29" s="11" t="s">
        <v>19</v>
      </c>
      <c r="C29" s="32">
        <f xml:space="preserve"> IF(F27="No", "∞", ROUND(C27 / (1 - C27),6))</f>
        <v>49</v>
      </c>
      <c r="D29" s="18" t="s">
        <v>21</v>
      </c>
      <c r="E29" s="6"/>
    </row>
    <row r="30" spans="2:6" x14ac:dyDescent="0.3">
      <c r="B30" s="25"/>
      <c r="D30" s="25"/>
    </row>
    <row r="35" spans="2:6" ht="15" thickBot="1" x14ac:dyDescent="0.35"/>
    <row r="36" spans="2:6" ht="15" thickBot="1" x14ac:dyDescent="0.35">
      <c r="B36" s="45" t="s">
        <v>23</v>
      </c>
      <c r="C36" s="46"/>
      <c r="D36" s="47"/>
    </row>
    <row r="37" spans="2:6" ht="15" thickBot="1" x14ac:dyDescent="0.35">
      <c r="B37" s="8" t="s">
        <v>3</v>
      </c>
      <c r="C37" s="7" t="s">
        <v>1</v>
      </c>
      <c r="D37" s="26" t="s">
        <v>2</v>
      </c>
      <c r="F37" s="26" t="s">
        <v>44</v>
      </c>
    </row>
    <row r="38" spans="2:6" ht="15" thickBot="1" x14ac:dyDescent="0.35">
      <c r="B38" s="27" t="s">
        <v>24</v>
      </c>
      <c r="C38" s="33">
        <f xml:space="preserve"> ROUND(MIN(C6 * C4, 1),6)</f>
        <v>0.56000000000000005</v>
      </c>
      <c r="D38" s="16" t="s">
        <v>25</v>
      </c>
      <c r="F38" s="38" t="str">
        <f xml:space="preserve"> IF(C38&lt;1, "Si", "No")</f>
        <v>Si</v>
      </c>
    </row>
    <row r="39" spans="2:6" x14ac:dyDescent="0.3">
      <c r="B39" s="11" t="s">
        <v>26</v>
      </c>
      <c r="C39" s="31">
        <f xml:space="preserve"> IF(F38="No", "∞", ROUND(C6 / (1 - C38),6))</f>
        <v>0.90909099999999998</v>
      </c>
      <c r="D39" s="17" t="s">
        <v>28</v>
      </c>
    </row>
    <row r="40" spans="2:6" ht="15" thickBot="1" x14ac:dyDescent="0.35">
      <c r="B40" s="11" t="s">
        <v>27</v>
      </c>
      <c r="C40" s="32">
        <f xml:space="preserve"> IF(F38="No", "∞", ROUND(C38 / (1 - C38),6))</f>
        <v>1.2727269999999999</v>
      </c>
      <c r="D40" s="18" t="s">
        <v>29</v>
      </c>
      <c r="E40" s="6"/>
    </row>
    <row r="41" spans="2:6" x14ac:dyDescent="0.3">
      <c r="B41" s="25"/>
      <c r="D41" s="25"/>
    </row>
    <row r="46" spans="2:6" ht="15" thickBot="1" x14ac:dyDescent="0.35"/>
    <row r="47" spans="2:6" ht="15" thickBot="1" x14ac:dyDescent="0.35">
      <c r="B47" s="45" t="s">
        <v>30</v>
      </c>
      <c r="C47" s="46"/>
      <c r="D47" s="47"/>
    </row>
    <row r="48" spans="2:6" ht="15" thickBot="1" x14ac:dyDescent="0.35">
      <c r="B48" s="8" t="s">
        <v>3</v>
      </c>
      <c r="C48" s="7" t="s">
        <v>1</v>
      </c>
      <c r="D48" s="26" t="s">
        <v>2</v>
      </c>
      <c r="F48" s="26" t="s">
        <v>44</v>
      </c>
    </row>
    <row r="49" spans="2:6" ht="15" thickBot="1" x14ac:dyDescent="0.35">
      <c r="B49" s="27" t="s">
        <v>31</v>
      </c>
      <c r="C49" s="33">
        <f xml:space="preserve"> ROUND(MIN(C8 * C4, 1),6)</f>
        <v>0.56000000000000005</v>
      </c>
      <c r="D49" s="16" t="s">
        <v>34</v>
      </c>
      <c r="F49" s="37" t="str">
        <f xml:space="preserve"> IF(C49&lt;1, "Si", "No")</f>
        <v>Si</v>
      </c>
    </row>
    <row r="50" spans="2:6" x14ac:dyDescent="0.3">
      <c r="B50" s="11" t="s">
        <v>32</v>
      </c>
      <c r="C50" s="31">
        <f xml:space="preserve"> IF(F49="No", "∞", ROUND(C8 / (1 - C49),6))</f>
        <v>0.90909099999999998</v>
      </c>
      <c r="D50" s="17" t="s">
        <v>35</v>
      </c>
      <c r="F50" s="25"/>
    </row>
    <row r="51" spans="2:6" ht="15" thickBot="1" x14ac:dyDescent="0.35">
      <c r="B51" s="11" t="s">
        <v>33</v>
      </c>
      <c r="C51" s="32">
        <f xml:space="preserve"> IF(F49="No", "∞", ROUND(C49 / (1 - C49),6))</f>
        <v>1.2727269999999999</v>
      </c>
      <c r="D51" s="20" t="s">
        <v>36</v>
      </c>
      <c r="E51" s="6"/>
    </row>
    <row r="52" spans="2:6" x14ac:dyDescent="0.3">
      <c r="B52" s="25"/>
    </row>
    <row r="57" spans="2:6" ht="15" thickBot="1" x14ac:dyDescent="0.35"/>
    <row r="58" spans="2:6" ht="15" thickBot="1" x14ac:dyDescent="0.35">
      <c r="B58" s="45" t="s">
        <v>12</v>
      </c>
      <c r="C58" s="46"/>
      <c r="D58" s="47"/>
    </row>
    <row r="59" spans="2:6" ht="15" thickBot="1" x14ac:dyDescent="0.35">
      <c r="B59" s="8" t="s">
        <v>3</v>
      </c>
      <c r="C59" s="7" t="s">
        <v>1</v>
      </c>
      <c r="D59" s="26" t="s">
        <v>2</v>
      </c>
    </row>
    <row r="60" spans="2:6" x14ac:dyDescent="0.3">
      <c r="B60" s="27" t="s">
        <v>37</v>
      </c>
      <c r="C60" s="33">
        <f xml:space="preserve"> IF(C28="∞", "∞", IF(C39="∞", "∞", IF(C50="∞", "∞", ROUND(C28 + C39 + C50,6))))</f>
        <v>36.818182</v>
      </c>
      <c r="D60" s="16" t="s">
        <v>42</v>
      </c>
    </row>
    <row r="61" spans="2:6" x14ac:dyDescent="0.3">
      <c r="B61" s="11" t="s">
        <v>38</v>
      </c>
      <c r="C61" s="31">
        <f xml:space="preserve"> IF(C29="∞", "∞", IF(C40="∞", "∞", IF(C51="∞", "∞", ROUND(C29 + C40 + C51,6))))</f>
        <v>51.545453999999999</v>
      </c>
      <c r="D61" s="17" t="s">
        <v>41</v>
      </c>
    </row>
    <row r="62" spans="2:6" ht="15" thickBot="1" x14ac:dyDescent="0.35">
      <c r="B62" s="13" t="s">
        <v>39</v>
      </c>
      <c r="C62" s="32">
        <f xml:space="preserve"> ROUND(1 / MAX(C26, C6, C8),6)</f>
        <v>1.428571</v>
      </c>
      <c r="D62" s="20" t="s">
        <v>40</v>
      </c>
    </row>
    <row r="68" spans="2:4" ht="15" thickBot="1" x14ac:dyDescent="0.35"/>
    <row r="69" spans="2:4" ht="15" thickBot="1" x14ac:dyDescent="0.35">
      <c r="B69" s="48" t="s">
        <v>43</v>
      </c>
      <c r="C69" s="49"/>
      <c r="D69" s="50"/>
    </row>
    <row r="70" spans="2:4" x14ac:dyDescent="0.3">
      <c r="B70" s="35" t="s">
        <v>45</v>
      </c>
      <c r="C70" s="51" t="s">
        <v>46</v>
      </c>
      <c r="D70" s="52"/>
    </row>
    <row r="71" spans="2:4" ht="15" thickBot="1" x14ac:dyDescent="0.35">
      <c r="B71" s="36" t="s">
        <v>47</v>
      </c>
      <c r="C71" s="40" t="s">
        <v>55</v>
      </c>
      <c r="D71" s="41"/>
    </row>
    <row r="72" spans="2:4" x14ac:dyDescent="0.3">
      <c r="B72" s="25"/>
      <c r="C72" s="25"/>
      <c r="D72" s="25"/>
    </row>
  </sheetData>
  <mergeCells count="8">
    <mergeCell ref="C70:D70"/>
    <mergeCell ref="C71:D71"/>
    <mergeCell ref="B2:D2"/>
    <mergeCell ref="B24:D24"/>
    <mergeCell ref="B36:D36"/>
    <mergeCell ref="B47:D47"/>
    <mergeCell ref="B58:D58"/>
    <mergeCell ref="B69:D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light_1FA</vt:lpstr>
      <vt:lpstr>light_2FA</vt:lpstr>
      <vt:lpstr>heavy_1FA</vt:lpstr>
      <vt:lpstr>heavy_1FA_newServerB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2025-12-09T01:18:36Z</dcterms:modified>
</cp:coreProperties>
</file>