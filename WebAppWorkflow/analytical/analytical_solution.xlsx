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3"/>
  </bookViews>
  <sheets>
    <sheet name="light_1FA" sheetId="1" r:id="rId1"/>
    <sheet name="light_2FA" sheetId="2" r:id="rId2"/>
    <sheet name="heavy_1FA" sheetId="3" r:id="rId3"/>
    <sheet name="heavy_1FA_newServerB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4" i="4" l="1"/>
  <c r="C51" i="4"/>
  <c r="F51" i="4" s="1"/>
  <c r="C42" i="4"/>
  <c r="C39" i="4"/>
  <c r="F39" i="4" s="1"/>
  <c r="C30" i="4"/>
  <c r="C65" i="4" s="1"/>
  <c r="C26" i="4"/>
  <c r="C27" i="4" s="1"/>
  <c r="F27" i="4" s="1"/>
  <c r="C17" i="4"/>
  <c r="C54" i="3"/>
  <c r="F51" i="3"/>
  <c r="C53" i="3" s="1"/>
  <c r="C51" i="3"/>
  <c r="C42" i="3"/>
  <c r="C39" i="3"/>
  <c r="F39" i="3" s="1"/>
  <c r="C26" i="3"/>
  <c r="C30" i="3" s="1"/>
  <c r="C65" i="3" s="1"/>
  <c r="C17" i="3"/>
  <c r="C54" i="2"/>
  <c r="F51" i="2"/>
  <c r="C53" i="2" s="1"/>
  <c r="C51" i="2"/>
  <c r="C42" i="2"/>
  <c r="C39" i="2"/>
  <c r="F39" i="2" s="1"/>
  <c r="C27" i="2"/>
  <c r="F27" i="2" s="1"/>
  <c r="C26" i="2"/>
  <c r="C30" i="2" s="1"/>
  <c r="C65" i="2" s="1"/>
  <c r="C17" i="2"/>
  <c r="C64" i="1"/>
  <c r="C63" i="1"/>
  <c r="C53" i="1"/>
  <c r="C52" i="1"/>
  <c r="C41" i="1"/>
  <c r="C40" i="1"/>
  <c r="C29" i="1"/>
  <c r="F27" i="1"/>
  <c r="C28" i="1" s="1"/>
  <c r="C51" i="1"/>
  <c r="C39" i="1"/>
  <c r="C27" i="1"/>
  <c r="C17" i="1"/>
  <c r="C54" i="1"/>
  <c r="C42" i="1"/>
  <c r="C26" i="1"/>
  <c r="C30" i="1" s="1"/>
  <c r="C65" i="1" s="1"/>
  <c r="C28" i="4" l="1"/>
  <c r="C63" i="4" s="1"/>
  <c r="C29" i="4"/>
  <c r="C64" i="4" s="1"/>
  <c r="C52" i="4"/>
  <c r="C53" i="4"/>
  <c r="C41" i="4"/>
  <c r="C40" i="4"/>
  <c r="C41" i="3"/>
  <c r="C40" i="3"/>
  <c r="C27" i="3"/>
  <c r="F27" i="3" s="1"/>
  <c r="C52" i="3"/>
  <c r="C29" i="2"/>
  <c r="C64" i="2" s="1"/>
  <c r="C28" i="2"/>
  <c r="C41" i="2"/>
  <c r="C40" i="2"/>
  <c r="C52" i="2"/>
  <c r="F51" i="1"/>
  <c r="F39" i="1"/>
  <c r="C29" i="3" l="1"/>
  <c r="C64" i="3" s="1"/>
  <c r="C28" i="3"/>
  <c r="C63" i="3" s="1"/>
  <c r="C63" i="2"/>
</calcChain>
</file>

<file path=xl/sharedStrings.xml><?xml version="1.0" encoding="utf-8"?>
<sst xmlns="http://schemas.openxmlformats.org/spreadsheetml/2006/main" count="308" uniqueCount="62">
  <si>
    <t>Dati</t>
  </si>
  <si>
    <t>Valore</t>
  </si>
  <si>
    <t>Descrizione</t>
  </si>
  <si>
    <t>Parametro</t>
  </si>
  <si>
    <t>λ</t>
  </si>
  <si>
    <t>E(S_A)</t>
  </si>
  <si>
    <t>E(S_A1)</t>
  </si>
  <si>
    <t>E(S_B)</t>
  </si>
  <si>
    <t>E(S_A2)</t>
  </si>
  <si>
    <t>E(S_P)</t>
  </si>
  <si>
    <t>E(S_A3)</t>
  </si>
  <si>
    <t>Tasso di arrivo [req/s]</t>
  </si>
  <si>
    <t>Tempo medio di servizio richiesto per i job di Classe 1 al Server A se il server A avesse capacità 1 [s]</t>
  </si>
  <si>
    <t>Tempo medio di servizio richiesto per i job (di Classe 1) al Server B se il server B avesse capacità 1 [s]</t>
  </si>
  <si>
    <t>Tempo medio di servizio richiesto per i job di Classe 2 al Server A se il server A avesse capacità 1 [s]</t>
  </si>
  <si>
    <t>Tempo medio di servizio richiesto per i job (di Classe 2) al Server P se il server P avesse capacità 1 [s]</t>
  </si>
  <si>
    <t>Tempo medio di servizio richiesto per i job di Classe 3 al Server A se il server A avesse capacità 1 [s]</t>
  </si>
  <si>
    <t>Sistema</t>
  </si>
  <si>
    <t>Server A</t>
  </si>
  <si>
    <t>E(S_TOT)</t>
  </si>
  <si>
    <t>Tempo medio di servizio totale richiesto per un job se in tutti i server ci fosse solo lui [s]</t>
  </si>
  <si>
    <t>Tempo medio di servizio totale richiesto per un job al Server A se ci fosse solo lui ad ogni visita [s]</t>
  </si>
  <si>
    <t>E(T_A)</t>
  </si>
  <si>
    <t>ρ_A</t>
  </si>
  <si>
    <t>E(N_A)</t>
  </si>
  <si>
    <t>Utilizzazione del Server A</t>
  </si>
  <si>
    <t>Numero medio di richieste sul Server A</t>
  </si>
  <si>
    <t>Tempo medio di risposta del Server A [s]</t>
  </si>
  <si>
    <t>Server B</t>
  </si>
  <si>
    <t>ρ_B</t>
  </si>
  <si>
    <t>Utilizzazione del Server B</t>
  </si>
  <si>
    <t>E(T_B)</t>
  </si>
  <si>
    <t>E(N_B)</t>
  </si>
  <si>
    <t>Tempo medio di risposta del Server B [s]</t>
  </si>
  <si>
    <t>Numero medio di richieste sul Server B</t>
  </si>
  <si>
    <t>Server P</t>
  </si>
  <si>
    <t>ρ_P</t>
  </si>
  <si>
    <t>E(T_P)</t>
  </si>
  <si>
    <t>E(N_P)</t>
  </si>
  <si>
    <t>Utilizzazione del Server P</t>
  </si>
  <si>
    <t>Tempo medio di risposta del Server P [s]</t>
  </si>
  <si>
    <t>Numero medio di richieste sul Server P</t>
  </si>
  <si>
    <t>E(T_TOT)</t>
  </si>
  <si>
    <t>E(N_TOT)</t>
  </si>
  <si>
    <t>λ_MAX</t>
  </si>
  <si>
    <t>Throughput massimo del sistema [req/s]</t>
  </si>
  <si>
    <t>Numero medio di richieste nel sistema</t>
  </si>
  <si>
    <t>Tempo medio di risposta del sistema [s]</t>
  </si>
  <si>
    <t>Conclusioni</t>
  </si>
  <si>
    <t>Stabilità</t>
  </si>
  <si>
    <t>Stabilità del sistema</t>
  </si>
  <si>
    <r>
      <rPr>
        <b/>
        <sz val="11"/>
        <color theme="1"/>
        <rFont val="Calibri"/>
        <family val="2"/>
        <scheme val="minor"/>
      </rPr>
      <t>Si</t>
    </r>
    <r>
      <rPr>
        <sz val="11"/>
        <color theme="1"/>
        <rFont val="Calibri"/>
        <family val="2"/>
        <scheme val="minor"/>
      </rPr>
      <t>: tutti i server sono stabili</t>
    </r>
  </si>
  <si>
    <t>Collo di bottiglia del sistema</t>
  </si>
  <si>
    <t>λ_A</t>
  </si>
  <si>
    <t>λ_B</t>
  </si>
  <si>
    <t>λ_P</t>
  </si>
  <si>
    <t>Throughput del Server A</t>
  </si>
  <si>
    <t>Throughput del Server B</t>
  </si>
  <si>
    <t>Throughput del Server P</t>
  </si>
  <si>
    <r>
      <rPr>
        <b/>
        <sz val="11"/>
        <color theme="1"/>
        <rFont val="Calibri"/>
        <family val="2"/>
        <scheme val="minor"/>
      </rPr>
      <t>Server B</t>
    </r>
    <r>
      <rPr>
        <sz val="11"/>
        <color theme="1"/>
        <rFont val="Calibri"/>
        <family val="2"/>
        <scheme val="minor"/>
      </rPr>
      <t>: è il server più lento (ha il throughput più basso)</t>
    </r>
  </si>
  <si>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: il server B non è stabile</t>
    </r>
  </si>
  <si>
    <r>
      <rPr>
        <b/>
        <sz val="11"/>
        <color theme="1"/>
        <rFont val="Calibri"/>
        <family val="2"/>
        <scheme val="minor"/>
      </rPr>
      <t>Server A</t>
    </r>
    <r>
      <rPr>
        <sz val="11"/>
        <color theme="1"/>
        <rFont val="Calibri"/>
        <family val="2"/>
        <scheme val="minor"/>
      </rPr>
      <t>: è il server più lento (ha il throughput più basso)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</si>
</sst>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FFF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medium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2" borderId="4" xfId="0" applyFont="1" applyFill="1" applyBorder="1" applyAlignment="1">
      <alignment horizontal="center"/>
    </xf>
    <xf numFmtId="0" fontId="0" fillId="0" borderId="0" xfId="0" applyBorder="1"/>
    <xf numFmtId="0" fontId="0" fillId="0" borderId="7" xfId="0" applyBorder="1" applyAlignment="1">
      <alignment horizontal="center"/>
    </xf>
    <xf numFmtId="0" fontId="0" fillId="0" borderId="5" xfId="0" applyBorder="1" applyAlignment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/>
    <xf numFmtId="0" fontId="1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5" xfId="0" applyBorder="1"/>
    <xf numFmtId="0" fontId="3" fillId="0" borderId="11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7" xfId="0" applyBorder="1" applyAlignment="1">
      <alignment horizontal="left"/>
    </xf>
    <xf numFmtId="0" fontId="3" fillId="0" borderId="12" xfId="0" applyFont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5" xfId="0" applyFill="1" applyBorder="1" applyAlignment="1"/>
    <xf numFmtId="0" fontId="0" fillId="0" borderId="18" xfId="0" applyBorder="1"/>
    <xf numFmtId="0" fontId="2" fillId="2" borderId="7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8" xfId="0" applyNumberFormat="1" applyBorder="1" applyAlignment="1">
      <alignment horizontal="center"/>
    </xf>
    <xf numFmtId="0" fontId="0" fillId="0" borderId="12" xfId="0" applyNumberFormat="1" applyBorder="1" applyAlignment="1">
      <alignment horizontal="center"/>
    </xf>
    <xf numFmtId="0" fontId="0" fillId="0" borderId="10" xfId="0" applyNumberFormat="1" applyBorder="1" applyAlignment="1">
      <alignment horizontal="center"/>
    </xf>
    <xf numFmtId="0" fontId="0" fillId="0" borderId="17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0" fillId="0" borderId="0" xfId="0" applyNumberFormat="1"/>
    <xf numFmtId="0" fontId="0" fillId="0" borderId="6" xfId="0" applyBorder="1" applyAlignment="1">
      <alignment horizontal="left"/>
    </xf>
    <xf numFmtId="0" fontId="4" fillId="6" borderId="2" xfId="0" applyFont="1" applyFill="1" applyBorder="1" applyAlignment="1">
      <alignment horizontal="center"/>
    </xf>
    <xf numFmtId="0" fontId="4" fillId="6" borderId="11" xfId="0" applyFont="1" applyFill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11" xfId="0" applyNumberFormat="1" applyBorder="1" applyAlignment="1">
      <alignment horizontal="center"/>
    </xf>
    <xf numFmtId="0" fontId="0" fillId="0" borderId="19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4" xfId="0" applyNumberFormat="1" applyBorder="1" applyAlignment="1">
      <alignment horizontal="left"/>
    </xf>
    <xf numFmtId="0" fontId="0" fillId="0" borderId="16" xfId="0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5" xfId="0" applyFill="1" applyBorder="1" applyAlignment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2CC"/>
      <color rgb="FF00D6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1432560</xdr:colOff>
      <xdr:row>10</xdr:row>
      <xdr:rowOff>45720</xdr:rowOff>
    </xdr:from>
    <xdr:to>
      <xdr:col>3</xdr:col>
      <xdr:colOff>1805940</xdr:colOff>
      <xdr:row>13</xdr:row>
      <xdr:rowOff>160020</xdr:rowOff>
    </xdr:to>
    <xdr:sp macro="" textlink="">
      <xdr:nvSpPr>
        <xdr:cNvPr id="3" name="Freccia in giù 2"/>
        <xdr:cNvSpPr/>
      </xdr:nvSpPr>
      <xdr:spPr>
        <a:xfrm>
          <a:off x="4785360" y="19050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6" name="Freccia in giù 5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7" name="Freccia in giù 6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8" name="Freccia in giù 7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9" name="Freccia in giù 8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10" name="Freccia in giù 9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2" name="Freccia in giù 1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3" name="Freccia in giù 2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4" name="Freccia in giù 3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5" name="Freccia in giù 4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6" name="Freccia in giù 5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1424940</xdr:colOff>
      <xdr:row>10</xdr:row>
      <xdr:rowOff>0</xdr:rowOff>
    </xdr:from>
    <xdr:to>
      <xdr:col>3</xdr:col>
      <xdr:colOff>1798320</xdr:colOff>
      <xdr:row>13</xdr:row>
      <xdr:rowOff>114300</xdr:rowOff>
    </xdr:to>
    <xdr:sp macro="" textlink="">
      <xdr:nvSpPr>
        <xdr:cNvPr id="7" name="Freccia in giù 6"/>
        <xdr:cNvSpPr/>
      </xdr:nvSpPr>
      <xdr:spPr>
        <a:xfrm>
          <a:off x="3558540" y="185928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8" name="Freccia in giù 7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9" name="Freccia in giù 8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10" name="Freccia in giù 9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11" name="Freccia in giù 10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12" name="Freccia in giù 11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1432560</xdr:colOff>
      <xdr:row>10</xdr:row>
      <xdr:rowOff>45720</xdr:rowOff>
    </xdr:from>
    <xdr:to>
      <xdr:col>3</xdr:col>
      <xdr:colOff>1805940</xdr:colOff>
      <xdr:row>13</xdr:row>
      <xdr:rowOff>160020</xdr:rowOff>
    </xdr:to>
    <xdr:sp macro="" textlink="">
      <xdr:nvSpPr>
        <xdr:cNvPr id="2" name="Freccia in giù 1"/>
        <xdr:cNvSpPr/>
      </xdr:nvSpPr>
      <xdr:spPr>
        <a:xfrm>
          <a:off x="4785360" y="19050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3" name="Freccia in giù 2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4" name="Freccia in giù 3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5" name="Freccia in giù 4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6" name="Freccia in giù 5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7" name="Freccia in giù 6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8" name="Freccia in giù 7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9" name="Freccia in giù 8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10" name="Freccia in giù 9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11" name="Freccia in giù 10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12" name="Freccia in giù 11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1432560</xdr:colOff>
      <xdr:row>18</xdr:row>
      <xdr:rowOff>45720</xdr:rowOff>
    </xdr:from>
    <xdr:to>
      <xdr:col>3</xdr:col>
      <xdr:colOff>1805940</xdr:colOff>
      <xdr:row>21</xdr:row>
      <xdr:rowOff>160020</xdr:rowOff>
    </xdr:to>
    <xdr:sp macro="" textlink="">
      <xdr:nvSpPr>
        <xdr:cNvPr id="2" name="Freccia in giù 1"/>
        <xdr:cNvSpPr/>
      </xdr:nvSpPr>
      <xdr:spPr>
        <a:xfrm>
          <a:off x="4785360" y="339090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1440180</xdr:colOff>
      <xdr:row>31</xdr:row>
      <xdr:rowOff>45720</xdr:rowOff>
    </xdr:from>
    <xdr:to>
      <xdr:col>3</xdr:col>
      <xdr:colOff>1813560</xdr:colOff>
      <xdr:row>34</xdr:row>
      <xdr:rowOff>160020</xdr:rowOff>
    </xdr:to>
    <xdr:sp macro="" textlink="">
      <xdr:nvSpPr>
        <xdr:cNvPr id="3" name="Freccia in giù 2"/>
        <xdr:cNvSpPr/>
      </xdr:nvSpPr>
      <xdr:spPr>
        <a:xfrm>
          <a:off x="4792980" y="5814060"/>
          <a:ext cx="373380" cy="66294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43</xdr:row>
      <xdr:rowOff>45720</xdr:rowOff>
    </xdr:from>
    <xdr:to>
      <xdr:col>3</xdr:col>
      <xdr:colOff>1828800</xdr:colOff>
      <xdr:row>46</xdr:row>
      <xdr:rowOff>152400</xdr:rowOff>
    </xdr:to>
    <xdr:sp macro="" textlink="">
      <xdr:nvSpPr>
        <xdr:cNvPr id="4" name="Freccia in giù 3"/>
        <xdr:cNvSpPr/>
      </xdr:nvSpPr>
      <xdr:spPr>
        <a:xfrm>
          <a:off x="4808220" y="804672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55</xdr:row>
      <xdr:rowOff>45720</xdr:rowOff>
    </xdr:from>
    <xdr:to>
      <xdr:col>3</xdr:col>
      <xdr:colOff>1828800</xdr:colOff>
      <xdr:row>58</xdr:row>
      <xdr:rowOff>152400</xdr:rowOff>
    </xdr:to>
    <xdr:sp macro="" textlink="">
      <xdr:nvSpPr>
        <xdr:cNvPr id="5" name="Freccia in giù 4"/>
        <xdr:cNvSpPr/>
      </xdr:nvSpPr>
      <xdr:spPr>
        <a:xfrm>
          <a:off x="4808220" y="1027938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</xdr:col>
      <xdr:colOff>1455420</xdr:colOff>
      <xdr:row>66</xdr:row>
      <xdr:rowOff>45720</xdr:rowOff>
    </xdr:from>
    <xdr:to>
      <xdr:col>3</xdr:col>
      <xdr:colOff>1828800</xdr:colOff>
      <xdr:row>69</xdr:row>
      <xdr:rowOff>152400</xdr:rowOff>
    </xdr:to>
    <xdr:sp macro="" textlink="">
      <xdr:nvSpPr>
        <xdr:cNvPr id="6" name="Freccia in giù 5"/>
        <xdr:cNvSpPr/>
      </xdr:nvSpPr>
      <xdr:spPr>
        <a:xfrm>
          <a:off x="4808220" y="12321540"/>
          <a:ext cx="373380" cy="655320"/>
        </a:xfrm>
        <a:prstGeom prst="downArrow">
          <a:avLst/>
        </a:prstGeom>
        <a:solidFill>
          <a:srgbClr val="00D661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5"/>
  <sheetViews>
    <sheetView topLeftCell="A58" workbookViewId="0">
      <selection activeCell="C77" sqref="C77"/>
    </sheetView>
  </sheetViews>
  <sheetFormatPr defaultRowHeight="14.4" x14ac:dyDescent="0.3"/>
  <cols>
    <col min="1" max="1" width="8.33203125" customWidth="1"/>
    <col min="2" max="2" width="27.44140625" customWidth="1"/>
    <col min="3" max="3" width="13.109375" customWidth="1"/>
    <col min="4" max="4" width="83.5546875" customWidth="1"/>
    <col min="8" max="8" width="9.5546875" customWidth="1"/>
    <col min="10" max="10" width="8.6640625" customWidth="1"/>
  </cols>
  <sheetData>
    <row r="1" spans="1:8" ht="15" thickBot="1" x14ac:dyDescent="0.35">
      <c r="B1" s="2"/>
    </row>
    <row r="2" spans="1:8" ht="15" thickBot="1" x14ac:dyDescent="0.35">
      <c r="B2" s="1" t="s">
        <v>0</v>
      </c>
      <c r="C2" s="32"/>
      <c r="D2" s="33"/>
    </row>
    <row r="3" spans="1:8" ht="15" thickBot="1" x14ac:dyDescent="0.35">
      <c r="B3" s="11" t="s">
        <v>3</v>
      </c>
      <c r="C3" s="10" t="s">
        <v>1</v>
      </c>
      <c r="D3" s="10" t="s">
        <v>2</v>
      </c>
    </row>
    <row r="4" spans="1:8" x14ac:dyDescent="0.3">
      <c r="B4" s="12" t="s">
        <v>4</v>
      </c>
      <c r="C4" s="5">
        <v>1.2</v>
      </c>
      <c r="D4" s="18" t="s">
        <v>11</v>
      </c>
    </row>
    <row r="5" spans="1:8" x14ac:dyDescent="0.3">
      <c r="B5" s="14" t="s">
        <v>6</v>
      </c>
      <c r="C5" s="8">
        <v>0.2</v>
      </c>
      <c r="D5" s="19" t="s">
        <v>12</v>
      </c>
    </row>
    <row r="6" spans="1:8" x14ac:dyDescent="0.3">
      <c r="B6" s="14" t="s">
        <v>7</v>
      </c>
      <c r="C6" s="6">
        <v>0.8</v>
      </c>
      <c r="D6" s="20" t="s">
        <v>13</v>
      </c>
    </row>
    <row r="7" spans="1:8" x14ac:dyDescent="0.3">
      <c r="A7" s="13"/>
      <c r="B7" s="15" t="s">
        <v>8</v>
      </c>
      <c r="C7" s="7">
        <v>0.4</v>
      </c>
      <c r="D7" s="21" t="s">
        <v>14</v>
      </c>
      <c r="E7" s="9"/>
      <c r="G7" s="2"/>
      <c r="H7" s="2"/>
    </row>
    <row r="8" spans="1:8" x14ac:dyDescent="0.3">
      <c r="A8" s="13"/>
      <c r="B8" s="15" t="s">
        <v>9</v>
      </c>
      <c r="C8" s="7">
        <v>0.4</v>
      </c>
      <c r="D8" s="22" t="s">
        <v>15</v>
      </c>
    </row>
    <row r="9" spans="1:8" ht="15" thickBot="1" x14ac:dyDescent="0.35">
      <c r="A9" s="13"/>
      <c r="B9" s="16" t="s">
        <v>10</v>
      </c>
      <c r="C9" s="17">
        <v>0.1</v>
      </c>
      <c r="D9" s="23" t="s">
        <v>16</v>
      </c>
    </row>
    <row r="11" spans="1:8" x14ac:dyDescent="0.3">
      <c r="B11" s="25"/>
    </row>
    <row r="15" spans="1:8" ht="15" thickBot="1" x14ac:dyDescent="0.35"/>
    <row r="16" spans="1:8" ht="15" thickBot="1" x14ac:dyDescent="0.35">
      <c r="B16" s="11" t="s">
        <v>3</v>
      </c>
      <c r="C16" s="10" t="s">
        <v>1</v>
      </c>
      <c r="D16" s="10" t="s">
        <v>2</v>
      </c>
    </row>
    <row r="17" spans="2:6" ht="15" thickBot="1" x14ac:dyDescent="0.35">
      <c r="B17" s="26" t="s">
        <v>19</v>
      </c>
      <c r="C17" s="36">
        <f xml:space="preserve"> ROUND(C5 + C6 + C7 + C8 + C9,6)</f>
        <v>1.9</v>
      </c>
      <c r="D17" s="27" t="s">
        <v>20</v>
      </c>
    </row>
    <row r="20" spans="2:6" x14ac:dyDescent="0.3">
      <c r="C20" s="42"/>
    </row>
    <row r="23" spans="2:6" ht="15" thickBot="1" x14ac:dyDescent="0.35"/>
    <row r="24" spans="2:6" ht="15" thickBot="1" x14ac:dyDescent="0.35">
      <c r="B24" s="28" t="s">
        <v>18</v>
      </c>
      <c r="C24" s="29"/>
      <c r="D24" s="30"/>
    </row>
    <row r="25" spans="2:6" ht="15" thickBot="1" x14ac:dyDescent="0.35">
      <c r="B25" s="11" t="s">
        <v>3</v>
      </c>
      <c r="C25" s="10" t="s">
        <v>1</v>
      </c>
      <c r="D25" s="10" t="s">
        <v>2</v>
      </c>
    </row>
    <row r="26" spans="2:6" ht="15" thickBot="1" x14ac:dyDescent="0.35">
      <c r="B26" s="12" t="s">
        <v>5</v>
      </c>
      <c r="C26" s="37">
        <f xml:space="preserve"> ROUND(C5 + C7 + C9,6)</f>
        <v>0.7</v>
      </c>
      <c r="D26" s="18" t="s">
        <v>21</v>
      </c>
      <c r="F26" s="34" t="s">
        <v>49</v>
      </c>
    </row>
    <row r="27" spans="2:6" ht="15" thickBot="1" x14ac:dyDescent="0.35">
      <c r="B27" s="14" t="s">
        <v>23</v>
      </c>
      <c r="C27" s="38">
        <f xml:space="preserve"> ROUND(MIN(C4 * C26, 1),6)</f>
        <v>0.84</v>
      </c>
      <c r="D27" s="19" t="s">
        <v>25</v>
      </c>
      <c r="F27" s="46" t="str">
        <f xml:space="preserve"> IF(C27&lt;1, "Si", "No")</f>
        <v>Si</v>
      </c>
    </row>
    <row r="28" spans="2:6" x14ac:dyDescent="0.3">
      <c r="B28" s="14" t="s">
        <v>22</v>
      </c>
      <c r="C28" s="39">
        <f xml:space="preserve"> IF(F27="No", "∞", ROUND(C26 / (1 - C27),6))</f>
        <v>4.375</v>
      </c>
      <c r="D28" s="20" t="s">
        <v>27</v>
      </c>
      <c r="F28" s="31"/>
    </row>
    <row r="29" spans="2:6" x14ac:dyDescent="0.3">
      <c r="B29" s="14" t="s">
        <v>24</v>
      </c>
      <c r="C29" s="48">
        <f xml:space="preserve"> IF(F27="No", "∞", ROUND(C27 / (1 - C27),6))</f>
        <v>5.25</v>
      </c>
      <c r="D29" s="21" t="s">
        <v>26</v>
      </c>
      <c r="E29" s="9"/>
    </row>
    <row r="30" spans="2:6" ht="15" thickBot="1" x14ac:dyDescent="0.35">
      <c r="B30" s="16" t="s">
        <v>53</v>
      </c>
      <c r="C30" s="40">
        <f xml:space="preserve"> ROUND(1 / C26,6)</f>
        <v>1.428571</v>
      </c>
      <c r="D30" s="23" t="s">
        <v>56</v>
      </c>
    </row>
    <row r="31" spans="2:6" x14ac:dyDescent="0.3">
      <c r="D31" s="31"/>
    </row>
    <row r="36" spans="2:6" ht="15" thickBot="1" x14ac:dyDescent="0.35"/>
    <row r="37" spans="2:6" ht="15" thickBot="1" x14ac:dyDescent="0.35">
      <c r="B37" s="28" t="s">
        <v>28</v>
      </c>
      <c r="C37" s="29"/>
      <c r="D37" s="30"/>
    </row>
    <row r="38" spans="2:6" ht="15" thickBot="1" x14ac:dyDescent="0.35">
      <c r="B38" s="11" t="s">
        <v>3</v>
      </c>
      <c r="C38" s="10" t="s">
        <v>1</v>
      </c>
      <c r="D38" s="34" t="s">
        <v>2</v>
      </c>
      <c r="F38" s="34" t="s">
        <v>49</v>
      </c>
    </row>
    <row r="39" spans="2:6" ht="15" thickBot="1" x14ac:dyDescent="0.35">
      <c r="B39" s="35" t="s">
        <v>29</v>
      </c>
      <c r="C39" s="41">
        <f xml:space="preserve"> ROUND(MIN(C6 * C4, 1),6)</f>
        <v>0.96</v>
      </c>
      <c r="D39" s="19" t="s">
        <v>30</v>
      </c>
      <c r="F39" s="47" t="str">
        <f xml:space="preserve"> IF(C39&lt;1, "Si", "No")</f>
        <v>Si</v>
      </c>
    </row>
    <row r="40" spans="2:6" x14ac:dyDescent="0.3">
      <c r="B40" s="14" t="s">
        <v>31</v>
      </c>
      <c r="C40" s="39">
        <f xml:space="preserve"> IF(F39="No", "∞", ROUND(C6 / (1 - C39),6))</f>
        <v>20</v>
      </c>
      <c r="D40" s="20" t="s">
        <v>33</v>
      </c>
    </row>
    <row r="41" spans="2:6" x14ac:dyDescent="0.3">
      <c r="B41" s="14" t="s">
        <v>32</v>
      </c>
      <c r="C41" s="48">
        <f xml:space="preserve"> IF(F39="No", "∞", ROUND(C39 / (1 - C39),6))</f>
        <v>24</v>
      </c>
      <c r="D41" s="21" t="s">
        <v>34</v>
      </c>
      <c r="E41" s="9"/>
    </row>
    <row r="42" spans="2:6" ht="15" thickBot="1" x14ac:dyDescent="0.35">
      <c r="B42" s="14" t="s">
        <v>54</v>
      </c>
      <c r="C42" s="40">
        <f xml:space="preserve"> ROUND(1 / C6,6)</f>
        <v>1.25</v>
      </c>
      <c r="D42" s="43" t="s">
        <v>57</v>
      </c>
      <c r="E42" s="9"/>
    </row>
    <row r="43" spans="2:6" x14ac:dyDescent="0.3">
      <c r="B43" s="31"/>
    </row>
    <row r="48" spans="2:6" ht="15" thickBot="1" x14ac:dyDescent="0.35"/>
    <row r="49" spans="1:6" ht="15" thickBot="1" x14ac:dyDescent="0.35">
      <c r="B49" s="28" t="s">
        <v>35</v>
      </c>
      <c r="C49" s="29"/>
      <c r="D49" s="30"/>
    </row>
    <row r="50" spans="1:6" ht="15" thickBot="1" x14ac:dyDescent="0.35">
      <c r="B50" s="11" t="s">
        <v>3</v>
      </c>
      <c r="C50" s="10" t="s">
        <v>1</v>
      </c>
      <c r="D50" s="34" t="s">
        <v>2</v>
      </c>
      <c r="F50" s="34" t="s">
        <v>49</v>
      </c>
    </row>
    <row r="51" spans="1:6" ht="15" thickBot="1" x14ac:dyDescent="0.35">
      <c r="B51" s="35" t="s">
        <v>36</v>
      </c>
      <c r="C51" s="41">
        <f xml:space="preserve"> ROUND(MIN(C8 * C4, 1),6)</f>
        <v>0.48</v>
      </c>
      <c r="D51" s="19" t="s">
        <v>39</v>
      </c>
      <c r="F51" s="46" t="str">
        <f xml:space="preserve"> IF(C51&lt;1, "Si", "No")</f>
        <v>Si</v>
      </c>
    </row>
    <row r="52" spans="1:6" x14ac:dyDescent="0.3">
      <c r="B52" s="14" t="s">
        <v>37</v>
      </c>
      <c r="C52" s="39">
        <f xml:space="preserve"> IF(F51="No", "∞", ROUND(C8 / (1 - C51),6))</f>
        <v>0.769231</v>
      </c>
      <c r="D52" s="20" t="s">
        <v>40</v>
      </c>
      <c r="F52" s="31"/>
    </row>
    <row r="53" spans="1:6" x14ac:dyDescent="0.3">
      <c r="B53" s="14" t="s">
        <v>38</v>
      </c>
      <c r="C53" s="48">
        <f xml:space="preserve"> IF(F51="No", "∞", ROUND(C51 / (1 - C51),6))</f>
        <v>0.92307700000000004</v>
      </c>
      <c r="D53" s="21" t="s">
        <v>41</v>
      </c>
      <c r="E53" s="9"/>
    </row>
    <row r="54" spans="1:6" ht="15" thickBot="1" x14ac:dyDescent="0.35">
      <c r="A54" s="13"/>
      <c r="B54" s="16" t="s">
        <v>55</v>
      </c>
      <c r="C54" s="40">
        <f xml:space="preserve"> ROUND(1 / C8,6)</f>
        <v>2.5</v>
      </c>
      <c r="D54" s="23" t="s">
        <v>58</v>
      </c>
      <c r="E54" s="9"/>
    </row>
    <row r="60" spans="1:6" ht="15" thickBot="1" x14ac:dyDescent="0.35"/>
    <row r="61" spans="1:6" ht="15" thickBot="1" x14ac:dyDescent="0.35">
      <c r="B61" s="28" t="s">
        <v>17</v>
      </c>
      <c r="C61" s="29"/>
      <c r="D61" s="30"/>
    </row>
    <row r="62" spans="1:6" ht="15" thickBot="1" x14ac:dyDescent="0.35">
      <c r="B62" s="11" t="s">
        <v>3</v>
      </c>
      <c r="C62" s="10" t="s">
        <v>1</v>
      </c>
      <c r="D62" s="34" t="s">
        <v>2</v>
      </c>
    </row>
    <row r="63" spans="1:6" x14ac:dyDescent="0.3">
      <c r="B63" s="35" t="s">
        <v>42</v>
      </c>
      <c r="C63" s="41">
        <f xml:space="preserve"> IF(C28="∞", "∞", IF(C40="∞", "∞", IF(C52="∞", "∞", ROUND(C28 + C40 + C52,6))))</f>
        <v>25.144231000000001</v>
      </c>
      <c r="D63" s="19" t="s">
        <v>47</v>
      </c>
    </row>
    <row r="64" spans="1:6" x14ac:dyDescent="0.3">
      <c r="B64" s="14" t="s">
        <v>43</v>
      </c>
      <c r="C64" s="39">
        <f xml:space="preserve"> IF(C29="∞", "∞", IF(C41="∞", "∞", IF(C53="∞", "∞", ROUND(C29 + C41 + C53,6))))</f>
        <v>30.173076999999999</v>
      </c>
      <c r="D64" s="20" t="s">
        <v>46</v>
      </c>
    </row>
    <row r="65" spans="2:4" ht="15" thickBot="1" x14ac:dyDescent="0.35">
      <c r="B65" s="16" t="s">
        <v>44</v>
      </c>
      <c r="C65" s="40">
        <f xml:space="preserve"> ROUND(MIN(C30, C42, C54),6)</f>
        <v>1.25</v>
      </c>
      <c r="D65" s="23" t="s">
        <v>45</v>
      </c>
    </row>
    <row r="71" spans="2:4" ht="15" thickBot="1" x14ac:dyDescent="0.35"/>
    <row r="72" spans="2:4" ht="15" thickBot="1" x14ac:dyDescent="0.35">
      <c r="B72" s="53" t="s">
        <v>48</v>
      </c>
      <c r="C72" s="54"/>
      <c r="D72" s="55"/>
    </row>
    <row r="73" spans="2:4" x14ac:dyDescent="0.3">
      <c r="B73" s="44" t="s">
        <v>50</v>
      </c>
      <c r="C73" s="49" t="s">
        <v>51</v>
      </c>
      <c r="D73" s="50"/>
    </row>
    <row r="74" spans="2:4" ht="15" thickBot="1" x14ac:dyDescent="0.35">
      <c r="B74" s="45" t="s">
        <v>52</v>
      </c>
      <c r="C74" s="51" t="s">
        <v>59</v>
      </c>
      <c r="D74" s="52"/>
    </row>
    <row r="75" spans="2:4" x14ac:dyDescent="0.3">
      <c r="B75" s="31"/>
      <c r="C75" s="31"/>
      <c r="D75" s="31"/>
    </row>
  </sheetData>
  <mergeCells count="8">
    <mergeCell ref="B37:D37"/>
    <mergeCell ref="B49:D49"/>
    <mergeCell ref="B61:D61"/>
    <mergeCell ref="B72:D72"/>
    <mergeCell ref="C73:D73"/>
    <mergeCell ref="C74:D74"/>
    <mergeCell ref="B2:D2"/>
    <mergeCell ref="B24:D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topLeftCell="A52" workbookViewId="0">
      <selection activeCell="H27" sqref="H27"/>
    </sheetView>
  </sheetViews>
  <sheetFormatPr defaultRowHeight="14.4" x14ac:dyDescent="0.3"/>
  <cols>
    <col min="1" max="1" width="8.21875" customWidth="1"/>
    <col min="2" max="2" width="27.44140625" customWidth="1"/>
    <col min="3" max="3" width="13.33203125" customWidth="1"/>
    <col min="4" max="4" width="84.44140625" customWidth="1"/>
  </cols>
  <sheetData>
    <row r="1" spans="2:5" ht="15" thickBot="1" x14ac:dyDescent="0.35"/>
    <row r="2" spans="2:5" ht="15" thickBot="1" x14ac:dyDescent="0.35">
      <c r="B2" s="1" t="s">
        <v>0</v>
      </c>
      <c r="C2" s="3"/>
      <c r="D2" s="4"/>
    </row>
    <row r="3" spans="2:5" ht="15" thickBot="1" x14ac:dyDescent="0.35">
      <c r="B3" s="11" t="s">
        <v>3</v>
      </c>
      <c r="C3" s="10" t="s">
        <v>1</v>
      </c>
      <c r="D3" s="10" t="s">
        <v>2</v>
      </c>
    </row>
    <row r="4" spans="2:5" x14ac:dyDescent="0.3">
      <c r="B4" s="12" t="s">
        <v>4</v>
      </c>
      <c r="C4" s="5">
        <v>1.2</v>
      </c>
      <c r="D4" s="18" t="s">
        <v>11</v>
      </c>
    </row>
    <row r="5" spans="2:5" x14ac:dyDescent="0.3">
      <c r="B5" s="14" t="s">
        <v>6</v>
      </c>
      <c r="C5" s="8">
        <v>0.2</v>
      </c>
      <c r="D5" s="19" t="s">
        <v>12</v>
      </c>
    </row>
    <row r="6" spans="2:5" x14ac:dyDescent="0.3">
      <c r="B6" s="14" t="s">
        <v>7</v>
      </c>
      <c r="C6" s="6">
        <v>0.8</v>
      </c>
      <c r="D6" s="20" t="s">
        <v>13</v>
      </c>
    </row>
    <row r="7" spans="2:5" x14ac:dyDescent="0.3">
      <c r="B7" s="24" t="s">
        <v>8</v>
      </c>
      <c r="C7" s="7">
        <v>0.4</v>
      </c>
      <c r="D7" s="21" t="s">
        <v>14</v>
      </c>
      <c r="E7" s="9"/>
    </row>
    <row r="8" spans="2:5" x14ac:dyDescent="0.3">
      <c r="B8" s="24" t="s">
        <v>9</v>
      </c>
      <c r="C8" s="7">
        <v>0.7</v>
      </c>
      <c r="D8" s="22" t="s">
        <v>15</v>
      </c>
    </row>
    <row r="9" spans="2:5" ht="15" thickBot="1" x14ac:dyDescent="0.35">
      <c r="B9" s="16" t="s">
        <v>10</v>
      </c>
      <c r="C9" s="17">
        <v>0.15</v>
      </c>
      <c r="D9" s="23" t="s">
        <v>16</v>
      </c>
    </row>
    <row r="15" spans="2:5" ht="15" thickBot="1" x14ac:dyDescent="0.35"/>
    <row r="16" spans="2:5" ht="15" thickBot="1" x14ac:dyDescent="0.35">
      <c r="B16" s="11" t="s">
        <v>3</v>
      </c>
      <c r="C16" s="10" t="s">
        <v>1</v>
      </c>
      <c r="D16" s="10" t="s">
        <v>2</v>
      </c>
    </row>
    <row r="17" spans="2:6" ht="15" thickBot="1" x14ac:dyDescent="0.35">
      <c r="B17" s="26" t="s">
        <v>19</v>
      </c>
      <c r="C17" s="36">
        <f xml:space="preserve"> ROUND(C5 + C6 + C7 + C8 + C9,6)</f>
        <v>2.25</v>
      </c>
      <c r="D17" s="27" t="s">
        <v>20</v>
      </c>
    </row>
    <row r="20" spans="2:6" x14ac:dyDescent="0.3">
      <c r="C20" s="42"/>
    </row>
    <row r="23" spans="2:6" ht="15" thickBot="1" x14ac:dyDescent="0.35"/>
    <row r="24" spans="2:6" ht="15" thickBot="1" x14ac:dyDescent="0.35">
      <c r="B24" s="28" t="s">
        <v>18</v>
      </c>
      <c r="C24" s="29"/>
      <c r="D24" s="30"/>
    </row>
    <row r="25" spans="2:6" ht="15" thickBot="1" x14ac:dyDescent="0.35">
      <c r="B25" s="11" t="s">
        <v>3</v>
      </c>
      <c r="C25" s="10" t="s">
        <v>1</v>
      </c>
      <c r="D25" s="10" t="s">
        <v>2</v>
      </c>
    </row>
    <row r="26" spans="2:6" ht="15" thickBot="1" x14ac:dyDescent="0.35">
      <c r="B26" s="12" t="s">
        <v>5</v>
      </c>
      <c r="C26" s="37">
        <f xml:space="preserve"> ROUND(C5 + C7 + C9,6)</f>
        <v>0.75</v>
      </c>
      <c r="D26" s="18" t="s">
        <v>21</v>
      </c>
      <c r="F26" s="34" t="s">
        <v>49</v>
      </c>
    </row>
    <row r="27" spans="2:6" ht="15" thickBot="1" x14ac:dyDescent="0.35">
      <c r="B27" s="14" t="s">
        <v>23</v>
      </c>
      <c r="C27" s="38">
        <f xml:space="preserve"> ROUND(MIN(C4 * C26, 1),6)</f>
        <v>0.9</v>
      </c>
      <c r="D27" s="19" t="s">
        <v>25</v>
      </c>
      <c r="F27" s="46" t="str">
        <f xml:space="preserve"> IF(C27&lt;1, "Si", "No")</f>
        <v>Si</v>
      </c>
    </row>
    <row r="28" spans="2:6" x14ac:dyDescent="0.3">
      <c r="B28" s="14" t="s">
        <v>22</v>
      </c>
      <c r="C28" s="39">
        <f xml:space="preserve"> IF(F27="No", "∞", ROUND(C26 / (1 - C27),6))</f>
        <v>7.5</v>
      </c>
      <c r="D28" s="20" t="s">
        <v>27</v>
      </c>
      <c r="F28" s="31"/>
    </row>
    <row r="29" spans="2:6" x14ac:dyDescent="0.3">
      <c r="B29" s="14" t="s">
        <v>24</v>
      </c>
      <c r="C29" s="48">
        <f xml:space="preserve"> IF(F27="No", "∞", ROUND(C27 / (1 - C27),6))</f>
        <v>9</v>
      </c>
      <c r="D29" s="21" t="s">
        <v>26</v>
      </c>
      <c r="E29" s="9"/>
    </row>
    <row r="30" spans="2:6" ht="15" thickBot="1" x14ac:dyDescent="0.35">
      <c r="B30" s="16" t="s">
        <v>53</v>
      </c>
      <c r="C30" s="40">
        <f xml:space="preserve"> ROUND(1 / C26,6)</f>
        <v>1.3333330000000001</v>
      </c>
      <c r="D30" s="23" t="s">
        <v>56</v>
      </c>
    </row>
    <row r="31" spans="2:6" x14ac:dyDescent="0.3">
      <c r="D31" s="31"/>
    </row>
    <row r="36" spans="2:6" ht="15" thickBot="1" x14ac:dyDescent="0.35"/>
    <row r="37" spans="2:6" ht="15" thickBot="1" x14ac:dyDescent="0.35">
      <c r="B37" s="28" t="s">
        <v>28</v>
      </c>
      <c r="C37" s="29"/>
      <c r="D37" s="30"/>
    </row>
    <row r="38" spans="2:6" ht="15" thickBot="1" x14ac:dyDescent="0.35">
      <c r="B38" s="11" t="s">
        <v>3</v>
      </c>
      <c r="C38" s="10" t="s">
        <v>1</v>
      </c>
      <c r="D38" s="34" t="s">
        <v>2</v>
      </c>
      <c r="F38" s="34" t="s">
        <v>49</v>
      </c>
    </row>
    <row r="39" spans="2:6" ht="15" thickBot="1" x14ac:dyDescent="0.35">
      <c r="B39" s="35" t="s">
        <v>29</v>
      </c>
      <c r="C39" s="41">
        <f xml:space="preserve"> ROUND(MIN(C6 * C4, 1),6)</f>
        <v>0.96</v>
      </c>
      <c r="D39" s="19" t="s">
        <v>30</v>
      </c>
      <c r="F39" s="47" t="str">
        <f xml:space="preserve"> IF(C39&lt;1, "Si", "No")</f>
        <v>Si</v>
      </c>
    </row>
    <row r="40" spans="2:6" x14ac:dyDescent="0.3">
      <c r="B40" s="14" t="s">
        <v>31</v>
      </c>
      <c r="C40" s="39">
        <f xml:space="preserve"> IF(F39="No", "∞", ROUND(C6 / (1 - C39),6))</f>
        <v>20</v>
      </c>
      <c r="D40" s="20" t="s">
        <v>33</v>
      </c>
    </row>
    <row r="41" spans="2:6" x14ac:dyDescent="0.3">
      <c r="B41" s="14" t="s">
        <v>32</v>
      </c>
      <c r="C41" s="48">
        <f xml:space="preserve"> IF(F39="No", "∞", ROUND(C39 / (1 - C39),6))</f>
        <v>24</v>
      </c>
      <c r="D41" s="21" t="s">
        <v>34</v>
      </c>
      <c r="E41" s="9"/>
    </row>
    <row r="42" spans="2:6" ht="15" thickBot="1" x14ac:dyDescent="0.35">
      <c r="B42" s="14" t="s">
        <v>54</v>
      </c>
      <c r="C42" s="40">
        <f xml:space="preserve"> ROUND(1 / C6,6)</f>
        <v>1.25</v>
      </c>
      <c r="D42" s="43" t="s">
        <v>57</v>
      </c>
      <c r="E42" s="9"/>
    </row>
    <row r="43" spans="2:6" x14ac:dyDescent="0.3">
      <c r="B43" s="31"/>
    </row>
    <row r="48" spans="2:6" ht="15" thickBot="1" x14ac:dyDescent="0.35"/>
    <row r="49" spans="1:6" ht="15" thickBot="1" x14ac:dyDescent="0.35">
      <c r="B49" s="28" t="s">
        <v>35</v>
      </c>
      <c r="C49" s="29"/>
      <c r="D49" s="30"/>
    </row>
    <row r="50" spans="1:6" ht="15" thickBot="1" x14ac:dyDescent="0.35">
      <c r="B50" s="11" t="s">
        <v>3</v>
      </c>
      <c r="C50" s="10" t="s">
        <v>1</v>
      </c>
      <c r="D50" s="34" t="s">
        <v>2</v>
      </c>
      <c r="F50" s="34" t="s">
        <v>49</v>
      </c>
    </row>
    <row r="51" spans="1:6" ht="15" thickBot="1" x14ac:dyDescent="0.35">
      <c r="B51" s="35" t="s">
        <v>36</v>
      </c>
      <c r="C51" s="41">
        <f xml:space="preserve"> ROUND(MIN(C8 * C4, 1),6)</f>
        <v>0.84</v>
      </c>
      <c r="D51" s="19" t="s">
        <v>39</v>
      </c>
      <c r="F51" s="46" t="str">
        <f xml:space="preserve"> IF(C51&lt;1, "Si", "No")</f>
        <v>Si</v>
      </c>
    </row>
    <row r="52" spans="1:6" x14ac:dyDescent="0.3">
      <c r="B52" s="14" t="s">
        <v>37</v>
      </c>
      <c r="C52" s="39">
        <f xml:space="preserve"> IF(F51="No", "∞", ROUND(C8 / (1 - C51),6))</f>
        <v>4.375</v>
      </c>
      <c r="D52" s="20" t="s">
        <v>40</v>
      </c>
      <c r="F52" s="31"/>
    </row>
    <row r="53" spans="1:6" x14ac:dyDescent="0.3">
      <c r="B53" s="14" t="s">
        <v>38</v>
      </c>
      <c r="C53" s="48">
        <f xml:space="preserve"> IF(F51="No", "∞", ROUND(C51 / (1 - C51),6))</f>
        <v>5.25</v>
      </c>
      <c r="D53" s="21" t="s">
        <v>41</v>
      </c>
      <c r="E53" s="9"/>
    </row>
    <row r="54" spans="1:6" ht="15" thickBot="1" x14ac:dyDescent="0.35">
      <c r="A54" s="13"/>
      <c r="B54" s="16" t="s">
        <v>55</v>
      </c>
      <c r="C54" s="40">
        <f xml:space="preserve"> ROUND(1 / C8,6)</f>
        <v>1.428571</v>
      </c>
      <c r="D54" s="23" t="s">
        <v>58</v>
      </c>
      <c r="E54" s="9"/>
    </row>
    <row r="60" spans="1:6" ht="15" thickBot="1" x14ac:dyDescent="0.35"/>
    <row r="61" spans="1:6" ht="15" thickBot="1" x14ac:dyDescent="0.35">
      <c r="B61" s="28" t="s">
        <v>17</v>
      </c>
      <c r="C61" s="29"/>
      <c r="D61" s="30"/>
    </row>
    <row r="62" spans="1:6" ht="15" thickBot="1" x14ac:dyDescent="0.35">
      <c r="B62" s="11" t="s">
        <v>3</v>
      </c>
      <c r="C62" s="10" t="s">
        <v>1</v>
      </c>
      <c r="D62" s="34" t="s">
        <v>2</v>
      </c>
    </row>
    <row r="63" spans="1:6" x14ac:dyDescent="0.3">
      <c r="B63" s="35" t="s">
        <v>42</v>
      </c>
      <c r="C63" s="41">
        <f xml:space="preserve"> IF(C28="∞", "∞", IF(C40="∞", "∞", IF(C52="∞", "∞", ROUND(C28 + C40 + C52,6))))</f>
        <v>31.875</v>
      </c>
      <c r="D63" s="19" t="s">
        <v>47</v>
      </c>
    </row>
    <row r="64" spans="1:6" x14ac:dyDescent="0.3">
      <c r="B64" s="14" t="s">
        <v>43</v>
      </c>
      <c r="C64" s="39">
        <f xml:space="preserve"> IF(C29="∞", "∞", IF(C41="∞", "∞", IF(C53="∞", "∞", ROUND(C29 + C41 + C53,6))))</f>
        <v>38.25</v>
      </c>
      <c r="D64" s="20" t="s">
        <v>46</v>
      </c>
    </row>
    <row r="65" spans="2:4" ht="15" thickBot="1" x14ac:dyDescent="0.35">
      <c r="B65" s="16" t="s">
        <v>44</v>
      </c>
      <c r="C65" s="40">
        <f xml:space="preserve"> ROUND(MIN(C30, C42, C54),6)</f>
        <v>1.25</v>
      </c>
      <c r="D65" s="23" t="s">
        <v>45</v>
      </c>
    </row>
    <row r="71" spans="2:4" ht="15" thickBot="1" x14ac:dyDescent="0.35"/>
    <row r="72" spans="2:4" ht="15" thickBot="1" x14ac:dyDescent="0.35">
      <c r="B72" s="53" t="s">
        <v>48</v>
      </c>
      <c r="C72" s="54"/>
      <c r="D72" s="55"/>
    </row>
    <row r="73" spans="2:4" x14ac:dyDescent="0.3">
      <c r="B73" s="44" t="s">
        <v>50</v>
      </c>
      <c r="C73" s="49" t="s">
        <v>51</v>
      </c>
      <c r="D73" s="50"/>
    </row>
    <row r="74" spans="2:4" ht="15" thickBot="1" x14ac:dyDescent="0.35">
      <c r="B74" s="45" t="s">
        <v>52</v>
      </c>
      <c r="C74" s="51" t="s">
        <v>59</v>
      </c>
      <c r="D74" s="52"/>
    </row>
    <row r="75" spans="2:4" x14ac:dyDescent="0.3">
      <c r="B75" s="31"/>
      <c r="C75" s="31"/>
      <c r="D75" s="31"/>
    </row>
  </sheetData>
  <mergeCells count="8">
    <mergeCell ref="B72:D72"/>
    <mergeCell ref="C73:D73"/>
    <mergeCell ref="C74:D74"/>
    <mergeCell ref="B2:D2"/>
    <mergeCell ref="B24:D24"/>
    <mergeCell ref="B37:D37"/>
    <mergeCell ref="B49:D49"/>
    <mergeCell ref="B61:D6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topLeftCell="A52" workbookViewId="0">
      <selection activeCell="C74" sqref="C74:D74"/>
    </sheetView>
  </sheetViews>
  <sheetFormatPr defaultRowHeight="14.4" x14ac:dyDescent="0.3"/>
  <cols>
    <col min="1" max="1" width="8.109375" customWidth="1"/>
    <col min="2" max="2" width="27.44140625" customWidth="1"/>
    <col min="3" max="3" width="13.88671875" customWidth="1"/>
    <col min="4" max="4" width="83.5546875" customWidth="1"/>
  </cols>
  <sheetData>
    <row r="1" spans="2:5" ht="15" thickBot="1" x14ac:dyDescent="0.35"/>
    <row r="2" spans="2:5" ht="15" thickBot="1" x14ac:dyDescent="0.35">
      <c r="B2" s="1" t="s">
        <v>0</v>
      </c>
      <c r="C2" s="3"/>
      <c r="D2" s="4"/>
    </row>
    <row r="3" spans="2:5" ht="15" thickBot="1" x14ac:dyDescent="0.35">
      <c r="B3" s="11" t="s">
        <v>3</v>
      </c>
      <c r="C3" s="10" t="s">
        <v>1</v>
      </c>
      <c r="D3" s="10" t="s">
        <v>2</v>
      </c>
    </row>
    <row r="4" spans="2:5" x14ac:dyDescent="0.3">
      <c r="B4" s="12" t="s">
        <v>4</v>
      </c>
      <c r="C4" s="5">
        <v>1.4</v>
      </c>
      <c r="D4" s="18" t="s">
        <v>11</v>
      </c>
    </row>
    <row r="5" spans="2:5" x14ac:dyDescent="0.3">
      <c r="B5" s="14" t="s">
        <v>6</v>
      </c>
      <c r="C5" s="8">
        <v>0.2</v>
      </c>
      <c r="D5" s="19" t="s">
        <v>12</v>
      </c>
    </row>
    <row r="6" spans="2:5" x14ac:dyDescent="0.3">
      <c r="B6" s="14" t="s">
        <v>7</v>
      </c>
      <c r="C6" s="6">
        <v>0.8</v>
      </c>
      <c r="D6" s="20" t="s">
        <v>13</v>
      </c>
    </row>
    <row r="7" spans="2:5" x14ac:dyDescent="0.3">
      <c r="B7" s="24" t="s">
        <v>8</v>
      </c>
      <c r="C7" s="7">
        <v>0.4</v>
      </c>
      <c r="D7" s="21" t="s">
        <v>14</v>
      </c>
      <c r="E7" s="9"/>
    </row>
    <row r="8" spans="2:5" x14ac:dyDescent="0.3">
      <c r="B8" s="24" t="s">
        <v>9</v>
      </c>
      <c r="C8" s="7">
        <v>0.4</v>
      </c>
      <c r="D8" s="22" t="s">
        <v>15</v>
      </c>
    </row>
    <row r="9" spans="2:5" ht="15" thickBot="1" x14ac:dyDescent="0.35">
      <c r="B9" s="16" t="s">
        <v>10</v>
      </c>
      <c r="C9" s="17">
        <v>0.1</v>
      </c>
      <c r="D9" s="23" t="s">
        <v>16</v>
      </c>
    </row>
    <row r="11" spans="2:5" x14ac:dyDescent="0.3">
      <c r="B11" s="25"/>
    </row>
    <row r="15" spans="2:5" ht="15" thickBot="1" x14ac:dyDescent="0.35"/>
    <row r="16" spans="2:5" ht="15" thickBot="1" x14ac:dyDescent="0.35">
      <c r="B16" s="11" t="s">
        <v>3</v>
      </c>
      <c r="C16" s="10" t="s">
        <v>1</v>
      </c>
      <c r="D16" s="10" t="s">
        <v>2</v>
      </c>
    </row>
    <row r="17" spans="2:6" ht="15" thickBot="1" x14ac:dyDescent="0.35">
      <c r="B17" s="26" t="s">
        <v>19</v>
      </c>
      <c r="C17" s="36">
        <f xml:space="preserve"> ROUND(C5 + C6 + C7 + C8 + C9,6)</f>
        <v>1.9</v>
      </c>
      <c r="D17" s="27" t="s">
        <v>20</v>
      </c>
    </row>
    <row r="20" spans="2:6" x14ac:dyDescent="0.3">
      <c r="C20" s="42"/>
    </row>
    <row r="23" spans="2:6" ht="15" thickBot="1" x14ac:dyDescent="0.35"/>
    <row r="24" spans="2:6" ht="15" thickBot="1" x14ac:dyDescent="0.35">
      <c r="B24" s="28" t="s">
        <v>18</v>
      </c>
      <c r="C24" s="29"/>
      <c r="D24" s="30"/>
    </row>
    <row r="25" spans="2:6" ht="15" thickBot="1" x14ac:dyDescent="0.35">
      <c r="B25" s="11" t="s">
        <v>3</v>
      </c>
      <c r="C25" s="10" t="s">
        <v>1</v>
      </c>
      <c r="D25" s="10" t="s">
        <v>2</v>
      </c>
    </row>
    <row r="26" spans="2:6" ht="15" thickBot="1" x14ac:dyDescent="0.35">
      <c r="B26" s="12" t="s">
        <v>5</v>
      </c>
      <c r="C26" s="37">
        <f xml:space="preserve"> ROUND(C5 + C7 + C9,6)</f>
        <v>0.7</v>
      </c>
      <c r="D26" s="18" t="s">
        <v>21</v>
      </c>
      <c r="F26" s="34" t="s">
        <v>49</v>
      </c>
    </row>
    <row r="27" spans="2:6" ht="15" thickBot="1" x14ac:dyDescent="0.35">
      <c r="B27" s="14" t="s">
        <v>23</v>
      </c>
      <c r="C27" s="38">
        <f xml:space="preserve"> ROUND(MIN(C4 * C26, 1),6)</f>
        <v>0.98</v>
      </c>
      <c r="D27" s="19" t="s">
        <v>25</v>
      </c>
      <c r="F27" s="46" t="str">
        <f xml:space="preserve"> IF(C27&lt;1, "Si", "No")</f>
        <v>Si</v>
      </c>
    </row>
    <row r="28" spans="2:6" x14ac:dyDescent="0.3">
      <c r="B28" s="14" t="s">
        <v>22</v>
      </c>
      <c r="C28" s="39">
        <f xml:space="preserve"> IF(F27="No", "∞", ROUND(C26 / (1 - C27),6))</f>
        <v>35</v>
      </c>
      <c r="D28" s="20" t="s">
        <v>27</v>
      </c>
      <c r="F28" s="31"/>
    </row>
    <row r="29" spans="2:6" x14ac:dyDescent="0.3">
      <c r="B29" s="14" t="s">
        <v>24</v>
      </c>
      <c r="C29" s="48">
        <f xml:space="preserve"> IF(F27="No", "∞", ROUND(C27 / (1 - C27),6))</f>
        <v>49</v>
      </c>
      <c r="D29" s="21" t="s">
        <v>26</v>
      </c>
      <c r="E29" s="9"/>
    </row>
    <row r="30" spans="2:6" ht="15" thickBot="1" x14ac:dyDescent="0.35">
      <c r="B30" s="16" t="s">
        <v>53</v>
      </c>
      <c r="C30" s="40">
        <f xml:space="preserve"> ROUND(1 / C26,6)</f>
        <v>1.428571</v>
      </c>
      <c r="D30" s="23" t="s">
        <v>56</v>
      </c>
    </row>
    <row r="31" spans="2:6" x14ac:dyDescent="0.3">
      <c r="D31" s="31"/>
    </row>
    <row r="36" spans="2:6" ht="15" thickBot="1" x14ac:dyDescent="0.35"/>
    <row r="37" spans="2:6" ht="15" thickBot="1" x14ac:dyDescent="0.35">
      <c r="B37" s="28" t="s">
        <v>28</v>
      </c>
      <c r="C37" s="29"/>
      <c r="D37" s="30"/>
    </row>
    <row r="38" spans="2:6" ht="15" thickBot="1" x14ac:dyDescent="0.35">
      <c r="B38" s="11" t="s">
        <v>3</v>
      </c>
      <c r="C38" s="10" t="s">
        <v>1</v>
      </c>
      <c r="D38" s="34" t="s">
        <v>2</v>
      </c>
      <c r="F38" s="34" t="s">
        <v>49</v>
      </c>
    </row>
    <row r="39" spans="2:6" ht="15" thickBot="1" x14ac:dyDescent="0.35">
      <c r="B39" s="35" t="s">
        <v>29</v>
      </c>
      <c r="C39" s="41">
        <f xml:space="preserve"> ROUND(MIN(C6 * C4, 1),6)</f>
        <v>1</v>
      </c>
      <c r="D39" s="19" t="s">
        <v>30</v>
      </c>
      <c r="F39" s="47" t="str">
        <f xml:space="preserve"> IF(C39&lt;1, "Si", "No")</f>
        <v>No</v>
      </c>
    </row>
    <row r="40" spans="2:6" x14ac:dyDescent="0.3">
      <c r="B40" s="14" t="s">
        <v>31</v>
      </c>
      <c r="C40" s="39" t="str">
        <f xml:space="preserve"> IF(F39="No", "∞", ROUND(C6 / (1 - C39),6))</f>
        <v>∞</v>
      </c>
      <c r="D40" s="20" t="s">
        <v>33</v>
      </c>
    </row>
    <row r="41" spans="2:6" x14ac:dyDescent="0.3">
      <c r="B41" s="14" t="s">
        <v>32</v>
      </c>
      <c r="C41" s="48" t="str">
        <f xml:space="preserve"> IF(F39="No", "∞", ROUND(C39 / (1 - C39),6))</f>
        <v>∞</v>
      </c>
      <c r="D41" s="21" t="s">
        <v>34</v>
      </c>
      <c r="E41" s="9"/>
    </row>
    <row r="42" spans="2:6" ht="15" thickBot="1" x14ac:dyDescent="0.35">
      <c r="B42" s="14" t="s">
        <v>54</v>
      </c>
      <c r="C42" s="40">
        <f xml:space="preserve"> ROUND(1 / C6,6)</f>
        <v>1.25</v>
      </c>
      <c r="D42" s="43" t="s">
        <v>57</v>
      </c>
      <c r="E42" s="9"/>
    </row>
    <row r="43" spans="2:6" x14ac:dyDescent="0.3">
      <c r="B43" s="31"/>
    </row>
    <row r="48" spans="2:6" ht="15" thickBot="1" x14ac:dyDescent="0.35"/>
    <row r="49" spans="1:6" ht="15" thickBot="1" x14ac:dyDescent="0.35">
      <c r="B49" s="28" t="s">
        <v>35</v>
      </c>
      <c r="C49" s="29"/>
      <c r="D49" s="30"/>
    </row>
    <row r="50" spans="1:6" ht="15" thickBot="1" x14ac:dyDescent="0.35">
      <c r="B50" s="11" t="s">
        <v>3</v>
      </c>
      <c r="C50" s="10" t="s">
        <v>1</v>
      </c>
      <c r="D50" s="34" t="s">
        <v>2</v>
      </c>
      <c r="F50" s="34" t="s">
        <v>49</v>
      </c>
    </row>
    <row r="51" spans="1:6" ht="15" thickBot="1" x14ac:dyDescent="0.35">
      <c r="B51" s="35" t="s">
        <v>36</v>
      </c>
      <c r="C51" s="41">
        <f xml:space="preserve"> ROUND(MIN(C8 * C4, 1),6)</f>
        <v>0.56000000000000005</v>
      </c>
      <c r="D51" s="19" t="s">
        <v>39</v>
      </c>
      <c r="F51" s="46" t="str">
        <f xml:space="preserve"> IF(C51&lt;1, "Si", "No")</f>
        <v>Si</v>
      </c>
    </row>
    <row r="52" spans="1:6" x14ac:dyDescent="0.3">
      <c r="B52" s="14" t="s">
        <v>37</v>
      </c>
      <c r="C52" s="39">
        <f xml:space="preserve"> IF(F51="No", "∞", ROUND(C8 / (1 - C51),6))</f>
        <v>0.90909099999999998</v>
      </c>
      <c r="D52" s="20" t="s">
        <v>40</v>
      </c>
      <c r="F52" s="31"/>
    </row>
    <row r="53" spans="1:6" x14ac:dyDescent="0.3">
      <c r="B53" s="14" t="s">
        <v>38</v>
      </c>
      <c r="C53" s="48">
        <f xml:space="preserve"> IF(F51="No", "∞", ROUND(C51 / (1 - C51),6))</f>
        <v>1.2727269999999999</v>
      </c>
      <c r="D53" s="21" t="s">
        <v>41</v>
      </c>
      <c r="E53" s="9"/>
    </row>
    <row r="54" spans="1:6" ht="15" thickBot="1" x14ac:dyDescent="0.35">
      <c r="A54" s="13"/>
      <c r="B54" s="16" t="s">
        <v>55</v>
      </c>
      <c r="C54" s="40">
        <f xml:space="preserve"> ROUND(1 / C8,6)</f>
        <v>2.5</v>
      </c>
      <c r="D54" s="23" t="s">
        <v>58</v>
      </c>
      <c r="E54" s="9"/>
    </row>
    <row r="60" spans="1:6" ht="15" thickBot="1" x14ac:dyDescent="0.35"/>
    <row r="61" spans="1:6" ht="15" thickBot="1" x14ac:dyDescent="0.35">
      <c r="B61" s="28" t="s">
        <v>17</v>
      </c>
      <c r="C61" s="29"/>
      <c r="D61" s="30"/>
    </row>
    <row r="62" spans="1:6" ht="15" thickBot="1" x14ac:dyDescent="0.35">
      <c r="B62" s="11" t="s">
        <v>3</v>
      </c>
      <c r="C62" s="10" t="s">
        <v>1</v>
      </c>
      <c r="D62" s="34" t="s">
        <v>2</v>
      </c>
    </row>
    <row r="63" spans="1:6" x14ac:dyDescent="0.3">
      <c r="B63" s="35" t="s">
        <v>42</v>
      </c>
      <c r="C63" s="41" t="str">
        <f xml:space="preserve"> IF(C28="∞", "∞", IF(C40="∞", "∞", IF(C52="∞", "∞", ROUND(C28 + C40 + C52,6))))</f>
        <v>∞</v>
      </c>
      <c r="D63" s="19" t="s">
        <v>47</v>
      </c>
    </row>
    <row r="64" spans="1:6" x14ac:dyDescent="0.3">
      <c r="B64" s="14" t="s">
        <v>43</v>
      </c>
      <c r="C64" s="39" t="str">
        <f xml:space="preserve"> IF(C29="∞", "∞", IF(C41="∞", "∞", IF(C53="∞", "∞", ROUND(C29 + C41 + C53,6))))</f>
        <v>∞</v>
      </c>
      <c r="D64" s="20" t="s">
        <v>46</v>
      </c>
    </row>
    <row r="65" spans="2:4" ht="15" thickBot="1" x14ac:dyDescent="0.35">
      <c r="B65" s="16" t="s">
        <v>44</v>
      </c>
      <c r="C65" s="40">
        <f xml:space="preserve"> ROUND(MIN(C30, C42, C54),6)</f>
        <v>1.25</v>
      </c>
      <c r="D65" s="23" t="s">
        <v>45</v>
      </c>
    </row>
    <row r="71" spans="2:4" ht="15" thickBot="1" x14ac:dyDescent="0.35"/>
    <row r="72" spans="2:4" ht="15" thickBot="1" x14ac:dyDescent="0.35">
      <c r="B72" s="53" t="s">
        <v>48</v>
      </c>
      <c r="C72" s="54"/>
      <c r="D72" s="55"/>
    </row>
    <row r="73" spans="2:4" x14ac:dyDescent="0.3">
      <c r="B73" s="44" t="s">
        <v>50</v>
      </c>
      <c r="C73" s="49" t="s">
        <v>60</v>
      </c>
      <c r="D73" s="50"/>
    </row>
    <row r="74" spans="2:4" ht="15" thickBot="1" x14ac:dyDescent="0.35">
      <c r="B74" s="45" t="s">
        <v>52</v>
      </c>
      <c r="C74" s="51" t="s">
        <v>59</v>
      </c>
      <c r="D74" s="52"/>
    </row>
    <row r="75" spans="2:4" x14ac:dyDescent="0.3">
      <c r="B75" s="31"/>
      <c r="C75" s="31"/>
      <c r="D75" s="31"/>
    </row>
  </sheetData>
  <mergeCells count="8">
    <mergeCell ref="C73:D73"/>
    <mergeCell ref="C74:D74"/>
    <mergeCell ref="B2:D2"/>
    <mergeCell ref="B24:D24"/>
    <mergeCell ref="B37:D37"/>
    <mergeCell ref="B49:D49"/>
    <mergeCell ref="B61:D61"/>
    <mergeCell ref="B72:D7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tabSelected="1" topLeftCell="A34" workbookViewId="0">
      <selection activeCell="C75" sqref="C75"/>
    </sheetView>
  </sheetViews>
  <sheetFormatPr defaultRowHeight="14.4" x14ac:dyDescent="0.3"/>
  <cols>
    <col min="1" max="1" width="8.109375" customWidth="1"/>
    <col min="2" max="2" width="27.5546875" customWidth="1"/>
    <col min="3" max="3" width="13.6640625" customWidth="1"/>
    <col min="4" max="4" width="84.44140625" customWidth="1"/>
  </cols>
  <sheetData>
    <row r="1" spans="2:5" ht="15" thickBot="1" x14ac:dyDescent="0.35"/>
    <row r="2" spans="2:5" ht="15" thickBot="1" x14ac:dyDescent="0.35">
      <c r="B2" s="1" t="s">
        <v>0</v>
      </c>
      <c r="C2" s="3"/>
      <c r="D2" s="4"/>
    </row>
    <row r="3" spans="2:5" ht="15" thickBot="1" x14ac:dyDescent="0.35">
      <c r="B3" s="11" t="s">
        <v>3</v>
      </c>
      <c r="C3" s="10" t="s">
        <v>1</v>
      </c>
      <c r="D3" s="10" t="s">
        <v>2</v>
      </c>
    </row>
    <row r="4" spans="2:5" x14ac:dyDescent="0.3">
      <c r="B4" s="12" t="s">
        <v>4</v>
      </c>
      <c r="C4" s="5">
        <v>1.4</v>
      </c>
      <c r="D4" s="18" t="s">
        <v>11</v>
      </c>
    </row>
    <row r="5" spans="2:5" x14ac:dyDescent="0.3">
      <c r="B5" s="14" t="s">
        <v>6</v>
      </c>
      <c r="C5" s="8">
        <v>0.2</v>
      </c>
      <c r="D5" s="19" t="s">
        <v>12</v>
      </c>
    </row>
    <row r="6" spans="2:5" x14ac:dyDescent="0.3">
      <c r="B6" s="14" t="s">
        <v>7</v>
      </c>
      <c r="C6" s="6">
        <v>0.4</v>
      </c>
      <c r="D6" s="20" t="s">
        <v>13</v>
      </c>
    </row>
    <row r="7" spans="2:5" x14ac:dyDescent="0.3">
      <c r="B7" s="24" t="s">
        <v>8</v>
      </c>
      <c r="C7" s="7">
        <v>0.4</v>
      </c>
      <c r="D7" s="21" t="s">
        <v>14</v>
      </c>
      <c r="E7" s="9"/>
    </row>
    <row r="8" spans="2:5" x14ac:dyDescent="0.3">
      <c r="B8" s="24" t="s">
        <v>9</v>
      </c>
      <c r="C8" s="7">
        <v>0.4</v>
      </c>
      <c r="D8" s="22" t="s">
        <v>15</v>
      </c>
    </row>
    <row r="9" spans="2:5" ht="15" thickBot="1" x14ac:dyDescent="0.35">
      <c r="B9" s="16" t="s">
        <v>10</v>
      </c>
      <c r="C9" s="17">
        <v>0.1</v>
      </c>
      <c r="D9" s="23" t="s">
        <v>16</v>
      </c>
    </row>
    <row r="15" spans="2:5" ht="15" thickBot="1" x14ac:dyDescent="0.35"/>
    <row r="16" spans="2:5" ht="15" thickBot="1" x14ac:dyDescent="0.35">
      <c r="B16" s="11" t="s">
        <v>3</v>
      </c>
      <c r="C16" s="10" t="s">
        <v>1</v>
      </c>
      <c r="D16" s="10" t="s">
        <v>2</v>
      </c>
    </row>
    <row r="17" spans="2:6" ht="15" thickBot="1" x14ac:dyDescent="0.35">
      <c r="B17" s="26" t="s">
        <v>19</v>
      </c>
      <c r="C17" s="36">
        <f xml:space="preserve"> ROUND(C5 + C6 + C7 + C8 + C9,6)</f>
        <v>1.5</v>
      </c>
      <c r="D17" s="27" t="s">
        <v>20</v>
      </c>
    </row>
    <row r="20" spans="2:6" x14ac:dyDescent="0.3">
      <c r="C20" s="42"/>
    </row>
    <row r="23" spans="2:6" ht="15" thickBot="1" x14ac:dyDescent="0.35"/>
    <row r="24" spans="2:6" ht="15" thickBot="1" x14ac:dyDescent="0.35">
      <c r="B24" s="28" t="s">
        <v>18</v>
      </c>
      <c r="C24" s="29"/>
      <c r="D24" s="30"/>
    </row>
    <row r="25" spans="2:6" ht="15" thickBot="1" x14ac:dyDescent="0.35">
      <c r="B25" s="11" t="s">
        <v>3</v>
      </c>
      <c r="C25" s="10" t="s">
        <v>1</v>
      </c>
      <c r="D25" s="10" t="s">
        <v>2</v>
      </c>
    </row>
    <row r="26" spans="2:6" ht="15" thickBot="1" x14ac:dyDescent="0.35">
      <c r="B26" s="12" t="s">
        <v>5</v>
      </c>
      <c r="C26" s="37">
        <f xml:space="preserve"> ROUND(C5 + C7 + C9,6)</f>
        <v>0.7</v>
      </c>
      <c r="D26" s="18" t="s">
        <v>21</v>
      </c>
      <c r="F26" s="34" t="s">
        <v>49</v>
      </c>
    </row>
    <row r="27" spans="2:6" ht="15" thickBot="1" x14ac:dyDescent="0.35">
      <c r="B27" s="14" t="s">
        <v>23</v>
      </c>
      <c r="C27" s="38">
        <f xml:space="preserve"> ROUND(MIN(C4 * C26, 1),6)</f>
        <v>0.98</v>
      </c>
      <c r="D27" s="19" t="s">
        <v>25</v>
      </c>
      <c r="F27" s="46" t="str">
        <f xml:space="preserve"> IF(C27&lt;1, "Si", "No")</f>
        <v>Si</v>
      </c>
    </row>
    <row r="28" spans="2:6" x14ac:dyDescent="0.3">
      <c r="B28" s="14" t="s">
        <v>22</v>
      </c>
      <c r="C28" s="39">
        <f xml:space="preserve"> IF(F27="No", "∞", ROUND(C26 / (1 - C27),6))</f>
        <v>35</v>
      </c>
      <c r="D28" s="20" t="s">
        <v>27</v>
      </c>
      <c r="F28" s="31"/>
    </row>
    <row r="29" spans="2:6" x14ac:dyDescent="0.3">
      <c r="B29" s="14" t="s">
        <v>24</v>
      </c>
      <c r="C29" s="48">
        <f xml:space="preserve"> IF(F27="No", "∞", ROUND(C27 / (1 - C27),6))</f>
        <v>49</v>
      </c>
      <c r="D29" s="21" t="s">
        <v>26</v>
      </c>
      <c r="E29" s="9"/>
    </row>
    <row r="30" spans="2:6" ht="15" thickBot="1" x14ac:dyDescent="0.35">
      <c r="B30" s="16" t="s">
        <v>53</v>
      </c>
      <c r="C30" s="40">
        <f xml:space="preserve"> ROUND(1 / C26,6)</f>
        <v>1.428571</v>
      </c>
      <c r="D30" s="23" t="s">
        <v>56</v>
      </c>
    </row>
    <row r="31" spans="2:6" x14ac:dyDescent="0.3">
      <c r="D31" s="31"/>
    </row>
    <row r="36" spans="2:6" ht="15" thickBot="1" x14ac:dyDescent="0.35"/>
    <row r="37" spans="2:6" ht="15" thickBot="1" x14ac:dyDescent="0.35">
      <c r="B37" s="28" t="s">
        <v>28</v>
      </c>
      <c r="C37" s="29"/>
      <c r="D37" s="30"/>
    </row>
    <row r="38" spans="2:6" ht="15" thickBot="1" x14ac:dyDescent="0.35">
      <c r="B38" s="11" t="s">
        <v>3</v>
      </c>
      <c r="C38" s="10" t="s">
        <v>1</v>
      </c>
      <c r="D38" s="34" t="s">
        <v>2</v>
      </c>
      <c r="F38" s="34" t="s">
        <v>49</v>
      </c>
    </row>
    <row r="39" spans="2:6" ht="15" thickBot="1" x14ac:dyDescent="0.35">
      <c r="B39" s="35" t="s">
        <v>29</v>
      </c>
      <c r="C39" s="41">
        <f xml:space="preserve"> ROUND(MIN(C6 * C4, 1),6)</f>
        <v>0.56000000000000005</v>
      </c>
      <c r="D39" s="19" t="s">
        <v>30</v>
      </c>
      <c r="F39" s="47" t="str">
        <f xml:space="preserve"> IF(C39&lt;1, "Si", "No")</f>
        <v>Si</v>
      </c>
    </row>
    <row r="40" spans="2:6" x14ac:dyDescent="0.3">
      <c r="B40" s="14" t="s">
        <v>31</v>
      </c>
      <c r="C40" s="39">
        <f xml:space="preserve"> IF(F39="No", "∞", ROUND(C6 / (1 - C39),6))</f>
        <v>0.90909099999999998</v>
      </c>
      <c r="D40" s="20" t="s">
        <v>33</v>
      </c>
    </row>
    <row r="41" spans="2:6" x14ac:dyDescent="0.3">
      <c r="B41" s="14" t="s">
        <v>32</v>
      </c>
      <c r="C41" s="48">
        <f xml:space="preserve"> IF(F39="No", "∞", ROUND(C39 / (1 - C39),6))</f>
        <v>1.2727269999999999</v>
      </c>
      <c r="D41" s="21" t="s">
        <v>34</v>
      </c>
      <c r="E41" s="9"/>
    </row>
    <row r="42" spans="2:6" ht="15" thickBot="1" x14ac:dyDescent="0.35">
      <c r="B42" s="14" t="s">
        <v>54</v>
      </c>
      <c r="C42" s="40">
        <f xml:space="preserve"> ROUND(1 / C6,6)</f>
        <v>2.5</v>
      </c>
      <c r="D42" s="43" t="s">
        <v>57</v>
      </c>
      <c r="E42" s="9"/>
    </row>
    <row r="43" spans="2:6" x14ac:dyDescent="0.3">
      <c r="B43" s="31"/>
    </row>
    <row r="48" spans="2:6" ht="15" thickBot="1" x14ac:dyDescent="0.35"/>
    <row r="49" spans="1:6" ht="15" thickBot="1" x14ac:dyDescent="0.35">
      <c r="B49" s="28" t="s">
        <v>35</v>
      </c>
      <c r="C49" s="29"/>
      <c r="D49" s="30"/>
    </row>
    <row r="50" spans="1:6" ht="15" thickBot="1" x14ac:dyDescent="0.35">
      <c r="B50" s="11" t="s">
        <v>3</v>
      </c>
      <c r="C50" s="10" t="s">
        <v>1</v>
      </c>
      <c r="D50" s="34" t="s">
        <v>2</v>
      </c>
      <c r="F50" s="34" t="s">
        <v>49</v>
      </c>
    </row>
    <row r="51" spans="1:6" ht="15" thickBot="1" x14ac:dyDescent="0.35">
      <c r="B51" s="35" t="s">
        <v>36</v>
      </c>
      <c r="C51" s="41">
        <f xml:space="preserve"> ROUND(MIN(C8 * C4, 1),6)</f>
        <v>0.56000000000000005</v>
      </c>
      <c r="D51" s="19" t="s">
        <v>39</v>
      </c>
      <c r="F51" s="46" t="str">
        <f xml:space="preserve"> IF(C51&lt;1, "Si", "No")</f>
        <v>Si</v>
      </c>
    </row>
    <row r="52" spans="1:6" x14ac:dyDescent="0.3">
      <c r="B52" s="14" t="s">
        <v>37</v>
      </c>
      <c r="C52" s="39">
        <f xml:space="preserve"> IF(F51="No", "∞", ROUND(C8 / (1 - C51),6))</f>
        <v>0.90909099999999998</v>
      </c>
      <c r="D52" s="20" t="s">
        <v>40</v>
      </c>
      <c r="F52" s="31"/>
    </row>
    <row r="53" spans="1:6" x14ac:dyDescent="0.3">
      <c r="B53" s="14" t="s">
        <v>38</v>
      </c>
      <c r="C53" s="48">
        <f xml:space="preserve"> IF(F51="No", "∞", ROUND(C51 / (1 - C51),6))</f>
        <v>1.2727269999999999</v>
      </c>
      <c r="D53" s="21" t="s">
        <v>41</v>
      </c>
      <c r="E53" s="9"/>
    </row>
    <row r="54" spans="1:6" ht="15" thickBot="1" x14ac:dyDescent="0.35">
      <c r="A54" s="13"/>
      <c r="B54" s="16" t="s">
        <v>55</v>
      </c>
      <c r="C54" s="40">
        <f xml:space="preserve"> ROUND(1 / C8,6)</f>
        <v>2.5</v>
      </c>
      <c r="D54" s="23" t="s">
        <v>58</v>
      </c>
      <c r="E54" s="9"/>
    </row>
    <row r="60" spans="1:6" ht="15" thickBot="1" x14ac:dyDescent="0.35"/>
    <row r="61" spans="1:6" ht="15" thickBot="1" x14ac:dyDescent="0.35">
      <c r="B61" s="28" t="s">
        <v>17</v>
      </c>
      <c r="C61" s="29"/>
      <c r="D61" s="30"/>
    </row>
    <row r="62" spans="1:6" ht="15" thickBot="1" x14ac:dyDescent="0.35">
      <c r="B62" s="11" t="s">
        <v>3</v>
      </c>
      <c r="C62" s="10" t="s">
        <v>1</v>
      </c>
      <c r="D62" s="34" t="s">
        <v>2</v>
      </c>
    </row>
    <row r="63" spans="1:6" x14ac:dyDescent="0.3">
      <c r="B63" s="35" t="s">
        <v>42</v>
      </c>
      <c r="C63" s="41">
        <f xml:space="preserve"> IF(C28="∞", "∞", IF(C40="∞", "∞", IF(C52="∞", "∞", ROUND(C28 + C40 + C52,6))))</f>
        <v>36.818182</v>
      </c>
      <c r="D63" s="19" t="s">
        <v>47</v>
      </c>
    </row>
    <row r="64" spans="1:6" x14ac:dyDescent="0.3">
      <c r="B64" s="14" t="s">
        <v>43</v>
      </c>
      <c r="C64" s="39">
        <f xml:space="preserve"> IF(C29="∞", "∞", IF(C41="∞", "∞", IF(C53="∞", "∞", ROUND(C29 + C41 + C53,6))))</f>
        <v>51.545453999999999</v>
      </c>
      <c r="D64" s="20" t="s">
        <v>46</v>
      </c>
    </row>
    <row r="65" spans="2:4" ht="15" thickBot="1" x14ac:dyDescent="0.35">
      <c r="B65" s="16" t="s">
        <v>44</v>
      </c>
      <c r="C65" s="40">
        <f xml:space="preserve"> ROUND(MIN(C30, C42, C54),6)</f>
        <v>1.428571</v>
      </c>
      <c r="D65" s="23" t="s">
        <v>45</v>
      </c>
    </row>
    <row r="71" spans="2:4" ht="15" thickBot="1" x14ac:dyDescent="0.35"/>
    <row r="72" spans="2:4" ht="15" thickBot="1" x14ac:dyDescent="0.35">
      <c r="B72" s="53" t="s">
        <v>48</v>
      </c>
      <c r="C72" s="54"/>
      <c r="D72" s="55"/>
    </row>
    <row r="73" spans="2:4" x14ac:dyDescent="0.3">
      <c r="B73" s="44" t="s">
        <v>50</v>
      </c>
      <c r="C73" s="49" t="s">
        <v>51</v>
      </c>
      <c r="D73" s="50"/>
    </row>
    <row r="74" spans="2:4" ht="15" thickBot="1" x14ac:dyDescent="0.35">
      <c r="B74" s="45" t="s">
        <v>52</v>
      </c>
      <c r="C74" s="51" t="s">
        <v>61</v>
      </c>
      <c r="D74" s="52"/>
    </row>
    <row r="75" spans="2:4" x14ac:dyDescent="0.3">
      <c r="B75" s="31"/>
      <c r="C75" s="31"/>
      <c r="D75" s="31"/>
    </row>
  </sheetData>
  <mergeCells count="8">
    <mergeCell ref="C73:D73"/>
    <mergeCell ref="C74:D74"/>
    <mergeCell ref="B2:D2"/>
    <mergeCell ref="B24:D24"/>
    <mergeCell ref="B37:D37"/>
    <mergeCell ref="B49:D49"/>
    <mergeCell ref="B61:D61"/>
    <mergeCell ref="B72:D7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light_1FA</vt:lpstr>
      <vt:lpstr>light_2FA</vt:lpstr>
      <vt:lpstr>heavy_1FA</vt:lpstr>
      <vt:lpstr>heavy_1FA_newServerB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2025-12-01T15:12:06Z</dcterms:modified>
</cp:coreProperties>
</file>